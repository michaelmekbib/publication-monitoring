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filterPrivacy="1" defaultThemeVersion="124226"/>
  <xr:revisionPtr revIDLastSave="2911" documentId="13_ncr:1_{62C53CBE-1B0D-4BD3-B1FA-54AB759D3615}" xr6:coauthVersionLast="47" xr6:coauthVersionMax="47" xr10:uidLastSave="{165C423C-AFBE-4B9B-9585-278D8E741125}"/>
  <bookViews>
    <workbookView xWindow="-110" yWindow="-110" windowWidth="19420" windowHeight="11500" firstSheet="2" activeTab="1" xr2:uid="{00000000-000D-0000-FFFF-FFFF00000000}"/>
  </bookViews>
  <sheets>
    <sheet name="SEB" sheetId="2" r:id="rId1"/>
    <sheet name="IDAB" sheetId="3" r:id="rId2"/>
    <sheet name="ARISE" sheetId="6" r:id="rId3"/>
    <sheet name="FSB" sheetId="7" r:id="rId4"/>
    <sheet name="IOSB" sheetId="8" r:id="rId5"/>
    <sheet name="OD" sheetId="9" r:id="rId6"/>
    <sheet name="VSAB" sheetId="4" r:id="rId7"/>
    <sheet name="HECB" sheetId="1" r:id="rId8"/>
    <sheet name="All branches" sheetId="14" r:id="rId9"/>
    <sheet name="PB" sheetId="5" r:id="rId10"/>
  </sheets>
  <definedNames>
    <definedName name="_xlnm._FilterDatabase" localSheetId="8" hidden="1">'All branches'!$A$1:$P$10</definedName>
    <definedName name="_xlnm._FilterDatabase" localSheetId="2" hidden="1">ARISE!$A$1:$P$113</definedName>
    <definedName name="_xlnm._FilterDatabase" localSheetId="3" hidden="1">FSB!$A$1:$P$8</definedName>
    <definedName name="_xlnm._FilterDatabase" localSheetId="7" hidden="1">HECB!$A$1:$O$46</definedName>
    <definedName name="_xlnm._FilterDatabase" localSheetId="1" hidden="1">IDAB!$A$1:$P$16</definedName>
    <definedName name="_xlnm._FilterDatabase" localSheetId="4" hidden="1">IOSB!$A$1:$O$7</definedName>
    <definedName name="_xlnm._FilterDatabase" localSheetId="5" hidden="1">OD!$A$1:$P$11</definedName>
    <definedName name="_xlnm._FilterDatabase" localSheetId="9" hidden="1">PB!$C$1:$O$7</definedName>
    <definedName name="_xlnm._FilterDatabase" localSheetId="0" hidden="1">SEB!$A$1:$P$98</definedName>
    <definedName name="_Hlk105141156">SEB!$D$8</definedName>
    <definedName name="_Hlk106380839">ARISE!$C$84</definedName>
    <definedName name="_Hlk127560252">ARISE!$D$17</definedName>
    <definedName name="_Hlk142490994">ARISE!$C$27</definedName>
    <definedName name="_Hlk153190722">ARISE!$D$69</definedName>
    <definedName name="_Hlk178599961">ARISE!#REF!</definedName>
    <definedName name="_Hlk205988750" localSheetId="0">SEB!#REF!</definedName>
    <definedName name="_Hlk33615461">SEB!$D$29</definedName>
    <definedName name="_Hlk528591927" localSheetId="0">SEB!$C$31</definedName>
    <definedName name="_Hlk86771361" localSheetId="0">SEB!$C$14</definedName>
    <definedName name="ArticleTypes">#REF!</definedName>
    <definedName name="OLE_LINK10">SEB!$C$67</definedName>
    <definedName name="OLE_LINK67">SEB!$D$78</definedName>
    <definedName name="typ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8" i="14" l="1"/>
</calcChain>
</file>

<file path=xl/sharedStrings.xml><?xml version="1.0" encoding="utf-8"?>
<sst xmlns="http://schemas.openxmlformats.org/spreadsheetml/2006/main" count="5536" uniqueCount="1419">
  <si>
    <t>Status (submitted, accepted, published)</t>
  </si>
  <si>
    <t>Journal Name
(please state where currently under review or final journal of publication)</t>
  </si>
  <si>
    <t>Author List</t>
  </si>
  <si>
    <t>Title</t>
  </si>
  <si>
    <t>Year</t>
  </si>
  <si>
    <t>First/Last author from CDC</t>
  </si>
  <si>
    <t>Volume/Issue</t>
  </si>
  <si>
    <t>Page Range</t>
  </si>
  <si>
    <t>Type</t>
  </si>
  <si>
    <t>Publication Date</t>
  </si>
  <si>
    <t>Announced at All Hands</t>
  </si>
  <si>
    <t>doi (or webpage)</t>
  </si>
  <si>
    <t>doi</t>
  </si>
  <si>
    <t>PMID</t>
  </si>
  <si>
    <t>PMCID</t>
  </si>
  <si>
    <t>Notes</t>
  </si>
  <si>
    <t>Published</t>
  </si>
  <si>
    <t>MMWR Morb Mortal Wkly Rep</t>
  </si>
  <si>
    <t>Valier MR, Elam-Evans LD, Mu Y, Santibanez TA, Yankey D, Zhou T, Pingali C, Singleton JA</t>
  </si>
  <si>
    <t>Racial and Ethnic Differences in COVID-19 Vaccination Coverage and Parental Intent Among Children Aged 5–17 Years — National Immunization Survey–Child COVID Module, United States, December 2020–September 2022</t>
  </si>
  <si>
    <t>MMWR</t>
  </si>
  <si>
    <t>Yes</t>
  </si>
  <si>
    <t>DOI: 10.15585/mmwr.mm7201a1</t>
  </si>
  <si>
    <t>PMC9815155</t>
  </si>
  <si>
    <t>Seither R, Calhoun K, Yusuf OB, Dramann D, Mugerwa-Kasujja A, Knighton CL, Black CL</t>
  </si>
  <si>
    <t>Vaccination Coverage with Selected Vaccines and Exemption Rates Among Children in Kindergarten — United States, 2021–22 School Year</t>
  </si>
  <si>
    <t>DOI: 10.15585/mmwr.mm7202a2</t>
  </si>
  <si>
    <t>PMC9869733</t>
  </si>
  <si>
    <t xml:space="preserve">Hill HA, Chen M, Elam-Evans LD, Yankey D, Singleton JA  </t>
  </si>
  <si>
    <t>Vaccination Coverage by Age 24 Months Among Children Born in 2018 and 2019 — National Immunization Survey–Child, United States, 2019–2021</t>
  </si>
  <si>
    <t>DOI: 10.15585/mmwr.mm7202a3</t>
  </si>
  <si>
    <t>PMC9869730</t>
  </si>
  <si>
    <t>Am J Prev Med</t>
  </si>
  <si>
    <t xml:space="preserve">Omari A, Boone KD, Zhou T, Lu PJ, Kriss JL, Hung M-C, Carter RJ, Black CL, Weiss D, Masters NB, Lee JT, Brewer NT, Szilagyi PG, Singleton JA  </t>
  </si>
  <si>
    <t>Characteristics of the moveable middle: Opportunities among adults open to COVID-19 vaccination</t>
  </si>
  <si>
    <t>Journal</t>
  </si>
  <si>
    <t>DOI: 10.1016/j.amepre.2022.11.003</t>
  </si>
  <si>
    <t>PMC9767894</t>
  </si>
  <si>
    <t>Lu PJ, Zhou T, Santibanez TA, Jain  , Black CL, Srivastav A, Hung MC, Kriss JL, Schorpp S, Yankey D, Sterrett N, Fast HE, Razzaghi H, Elam-Evans LD, Singleton JA</t>
  </si>
  <si>
    <t>COVID-19 bivalent booster vaccination coverage and intention to receive booster vaccination among children and adults — United States, November–December 2022</t>
  </si>
  <si>
    <t>DOI: 10.15585/mmwr.mm7207a5</t>
  </si>
  <si>
    <t>PMC9949845</t>
  </si>
  <si>
    <t>American Journal of Preventive Medicine</t>
  </si>
  <si>
    <t>Bonner KE, Vashist K, Abad NS, Kriss JL, Meng L, Lee JT, Wilhelm E, Lu PJ, Carter RJ, Boone K, Baack B, Masters NB, Weiss D, Black C, Huang Q, Vangala S, Albertin C, Szilagyi P, Brewer NT, Singleton JA.</t>
  </si>
  <si>
    <t>Behavioral and Social Drivers of COVID-19 Vaccination in the United States, August–November 2021</t>
  </si>
  <si>
    <t>Peer reviewed</t>
  </si>
  <si>
    <t>DOI: 10.1016/j.amepre.2023.01.014</t>
  </si>
  <si>
    <t> PMC9874048</t>
  </si>
  <si>
    <t xml:space="preserve">de Perio MA, Srivastav A, Razzaghi H, Laney AS, Black CL </t>
  </si>
  <si>
    <t>Paid sick leave among U.S. healthcare personnel, April 2022</t>
  </si>
  <si>
    <t>DOI: 10.1016/j.amepre.2023.02.027</t>
  </si>
  <si>
    <t>PMC10440219</t>
  </si>
  <si>
    <t>Preventive Medicine Reports</t>
  </si>
  <si>
    <t xml:space="preserve">Meghani m, Zapata L, Polen K, Galang RR, Razzaghi H, Meaney-Delman D, Ellington S. </t>
  </si>
  <si>
    <t>COVID-19 vaccination recommendations and practices for women of reproductive age, U.S. Physicians, Fall 2021</t>
  </si>
  <si>
    <t>DOI: 10.1016/j.pmedr.2023.102141</t>
  </si>
  <si>
    <t>PMC9922671</t>
  </si>
  <si>
    <t>J. Women's Health</t>
  </si>
  <si>
    <t>Meghani M, Razzaghi H, Kahn KE, Hung MC, Srivastav A, Lu PJ, Ellington S, Zhou R, Weintraub CL, Singleton JA</t>
  </si>
  <si>
    <t>Surveillance systems for monitoring vaccination coverage with vaccines recommended for pregnant women, United States  </t>
  </si>
  <si>
    <t>DOI: 10.1089/jwh.2022.0445</t>
  </si>
  <si>
    <t>N/A?</t>
  </si>
  <si>
    <t>Mehreen Meghani, Lauren B. Zapata, Kara Polen, Romeo R. Galang, Hilda Razzaghi (NCIRD), Dana Meaney-Delman, Sascha Ellington</t>
  </si>
  <si>
    <t>COVID-19 vaccination recommendations and practices for women of reproductive age, U.S. physicians, Fall 2021</t>
  </si>
  <si>
    <t>Vaccine</t>
  </si>
  <si>
    <t>Srivastav A (NCIRD), Lu PJ (NCIRD), Amaya A, Dever JA, Stanley M, Franks JL, Scanlon PJ, Fisher AM (NCIRD), Greby SM, Nguyen KH (NCIRD), Black CL (NCIRD)</t>
  </si>
  <si>
    <t>Prevalence of Influenza-Specific Vaccination Hesitancy among Adults in the United States, 2018</t>
  </si>
  <si>
    <t>DOI: 10.1016/j.vaccine.2023.03.008</t>
  </si>
  <si>
    <t>PMC10941755</t>
  </si>
  <si>
    <t>Online Report</t>
  </si>
  <si>
    <t>Meghani M, Razzaghi H, Crane B, Weintraub ES, Naleway AL, Irving SA, Kauffman TL, Daley MF, DeSilva M, Getahun D, Glenn, SC, Hambridge SJ, Hanson KE, Kenigsberg T, Lipkind HS, Nelson J, Vazquez-Benitez G, Zerbo O, Black C.</t>
  </si>
  <si>
    <t>COVID-19 Primary Series and Booster Dose Vaccination Coverage Among Pregnant Individuals by Key Demographics, High-Risk Conditions for Severe Illness from COVID-19, Pregnancy Comorbidities, and Timing of Vaccination — United States, January 2022-April 2022</t>
  </si>
  <si>
    <t>Online report</t>
  </si>
  <si>
    <t>TBD</t>
  </si>
  <si>
    <t xml:space="preserve">https://www.cdc.gov/covidvaxview/publications/covid19-vaccination-high-risk-pregnancy.html </t>
  </si>
  <si>
    <t>N/A</t>
  </si>
  <si>
    <t>Laurie D. Elam-Evans, Camara Phyllis Jones, Kushagra Vashist, David Yankey, Chalanda S. Smith, Jennifer L. Kriss, Peng-Jun Lu, Michael E. St. Louis, Noel T. Brewer, James A. Singleton</t>
  </si>
  <si>
    <t xml:space="preserve">The Association of Reported Experiences of Racial and Ethnic Discrimination in Health Care with COVID-19 Vaccination Uptake and Intent, United States, April 22, 2021 – November 26, 2022 </t>
  </si>
  <si>
    <t>DOI: 10.15585/mmwr.mm7216a5</t>
  </si>
  <si>
    <t>PMC10121269</t>
  </si>
  <si>
    <t>Public Health Reports</t>
  </si>
  <si>
    <t>Kortsmit K, Oduyebo T, Simeone R, Kahn K (NCIRD), Razzaghi H (NCIRD), Galang R, Ellington S, Ruffo N, Barfield W, Warner L, Cox S</t>
  </si>
  <si>
    <t>Influenza and Tetanus, Diphtheria, and Acellular Pertussis Vaccination Coverage during Pregnancy – Pregnancy Risk Assessment Monitoring System, 2020</t>
  </si>
  <si>
    <t>DOI: 10.1177/00333549231179252</t>
  </si>
  <si>
    <t>PMC10851903</t>
  </si>
  <si>
    <t>6/29/2023 publication ahead of print</t>
  </si>
  <si>
    <t>Benjamin J. Silk, PhD1; Heather M. Scobie, PhD1; William M. Duck, MPH1,2; Tess Palmer, MPH3; Farida B. Ahmad, MPH4; Alison M. Binder, MS5; Jodi A. Cisewski, MPH4; Seth Kroop, MPA5; Karl Soetebier, MAPW2; Meeyoung Park, MPH6; Aaron Kite-Powell, MS2; Andrea Cool, MPH5,7; Erin Connelly, MPAff1; Stephanie Dietz, PhD2; Kathleen Hartnett, PhD2; Jocelyn Johnston, MHS3; Diba Khan, PhD1; Shannon Stokley, DrPH8; Clinton R. Paden, PhD1; Michael Sheppard, MS2; Paul Sutton, PhD4; Hilda Razzaghi, PhD8; Robert N. Anderson, PhD4; Natalie Thornburg, PhD1; Sarah Meyer, MD8; Caryn Womack, BS1; Aliki P. Weakland, MPH1; Meredith McMorrow, MD1; Lanson R. Broeker, MBA1,3; Amber Winn, MPH1; Aron J. Hall, DVM1; Brendan Jackson, MD1; Barbara E. Mahon, MD1; Matthew D. Ritchey, DPT2</t>
  </si>
  <si>
    <t>COVID-19 Surveillance after the Expiration of the Public Health Emergency Declaration ― United States, May 11, 2023</t>
  </si>
  <si>
    <t>72(19)</t>
  </si>
  <si>
    <t>523-528</t>
  </si>
  <si>
    <t>DOI: 10.15585/mmwr.mm7219e1</t>
  </si>
  <si>
    <t>PMC10208372</t>
  </si>
  <si>
    <t>AJPM Focus</t>
  </si>
  <si>
    <t>Samira Badeh, Laurie D. Elam-Evans, Holly A. Hill, Benjamin Fredua</t>
  </si>
  <si>
    <t>Disrupted Routine Medical Visits in Children and Adolescents During the COVID-19 Pandemic, January-June 2021</t>
  </si>
  <si>
    <t>DOI: 10.1016/j.focus.2023.100119</t>
  </si>
  <si>
    <t>PMC10247587</t>
  </si>
  <si>
    <t>Lu PJ (NCIRD); Hung MC (NCIRD); Srivastav A(NCIRD); Yankey D (NCIRD) ; Black CL (NCIRD); Singleton JA(NCIRD)  </t>
  </si>
  <si>
    <t>Pneumococcal vaccination among adults 65–70 years of age before and during the COVID-19 pandemic</t>
  </si>
  <si>
    <t>https://www.cdc.gov/adultvaxview/publications-resources/pandemic-impact-on-ppv.html</t>
  </si>
  <si>
    <t>Hung MC (NCIRD); Srivastav A (NCIRD); Lu PJ (NCIRD); Black CL (NCIRD); Jatlaoui TC (NCIRD); Lindley MC (NCIRD); Singleton JA (NCIRD)</t>
  </si>
  <si>
    <t xml:space="preserve"> Vaccination Coverage among Adults in the United States, National Health Interview Survey, 2021</t>
  </si>
  <si>
    <t xml:space="preserve">https://www.cdc.gov/adultvaxview/publications-resources/vaccination-coverage-adults-2021.html </t>
  </si>
  <si>
    <t>Obstetrics &amp; Gynecology</t>
  </si>
  <si>
    <t>Irving SA, Crane B, Weintraub E (ISO/DHQP/CDC),Kauffman TL, Brooks N, Patel SA (SEB/ISD/NCIRD),Razzaghi H (SEB/ISD/NCIRD), Belongia EA, Daley MF, Getahun D, Glenn SC, Hambidge SJ, Jackson LA, Kharbanda E, Klein NP, Zerbo O, Naleway AL</t>
  </si>
  <si>
    <t>Influenza Vaccination Among Pregnant People Before and During the COVID-19 Pandemic</t>
  </si>
  <si>
    <t>DOI: 10.1097/AOG.0000000000005285</t>
  </si>
  <si>
    <t>PMC10868709</t>
  </si>
  <si>
    <t>Pubished online on 8/3. Publication data of 9/1</t>
  </si>
  <si>
    <t>Disability and Health Journal</t>
  </si>
  <si>
    <t>NaTasha D. Hollis, Tianyi Zhou (SEB), Catherine E Rice, Marshalyn Yeargin-Allsopp, Robyn A. Cree, James A. Singleton (SEB), Tammy A. Santibanez (SEB), Blythe Ryerson</t>
  </si>
  <si>
    <t>Inequities in COVID-19 vaccination coverage for adolescents with and without disability, ​National Immunization Survey–Child COVID Module, July 22, 2021–February 26, 2022</t>
  </si>
  <si>
    <t>DOI: 10.1016/j.dhjo.2023.101509</t>
  </si>
  <si>
    <t>PMC10961908</t>
  </si>
  <si>
    <t>Published online ahead of print on 7/18</t>
  </si>
  <si>
    <t>Journal of Primary Care and Community Health</t>
  </si>
  <si>
    <t>Webber BJ, Wheaton A, Lu PJ (NCIRD), Whitfield GP</t>
  </si>
  <si>
    <t>Joint Prevalence of Influenza Preventive Behaviors among Adults – United States, 2020</t>
  </si>
  <si>
    <t>DOI: 10.1177/21501319231191681</t>
  </si>
  <si>
    <t>PMC10422917</t>
  </si>
  <si>
    <t>8/1/2023 - Published online 8/11/2023</t>
  </si>
  <si>
    <t>Pingali C (NCIRD), Yankey D (NCIRD), Elam-Evans LE (NCIRD), Markowitz LE (NCIRD), Valier MR (NCIRD), Fredua B (NCIRD), Crowe SJ (NCIRD), DeSisto CL (NCIRD), Stokley S (NCIRD), and Singleton JA (NCIRD)</t>
  </si>
  <si>
    <t>Vaccination Coverage Among Adolescents Aged 13–17 Years — National Immunization Survey–Teen, United States, 2022</t>
  </si>
  <si>
    <t>DOI: 10.15585/mmwr.mm7234a3</t>
  </si>
  <si>
    <t>PMC10468222</t>
  </si>
  <si>
    <t>Published 8/15/25</t>
  </si>
  <si>
    <t>Pediatrics</t>
  </si>
  <si>
    <t xml:space="preserve">Pingali C (NCIRD) </t>
  </si>
  <si>
    <t>Comment on pubilshed article:  (Trends in Reasons for Human Papillomavirus Vaccine Hesitancy: 2010–2020 | Pediatrics | American Academy of Pediatrics (aap.org))</t>
  </si>
  <si>
    <t>DOI: 10.1016/j.jadohealth.2020.08.013</t>
  </si>
  <si>
    <t xml:space="preserve">PMC7834295 </t>
  </si>
  <si>
    <t>Schorpp S, Calhoun C, Razzaghi H, Black C (all NCIRD)</t>
  </si>
  <si>
    <t>Concerns about bivalent COVID-19 vaccine and reasons for non-vaccination among adults who completed a primary series - Omnibus survey, March 10–April 30, 2023 &amp; Household Pulse Survey, March 1–April 10, 2023</t>
  </si>
  <si>
    <t xml:space="preserve">https://www.cdc.gov/covidvaxview/publications/reasons-non-vaccination-among-adults.html </t>
  </si>
  <si>
    <t>Mehreen Meghani, MPH; Zhuping Garacci, MS, Hilda Razzaghi, PhD, Marie A. de Perio, MD, A. Scott Laney, PhD, Carla L. Black, PhD </t>
  </si>
  <si>
    <t>Influenza and COVID-19 Vaccination Coverage Among Health Care Personnel – United States, 2022-23 </t>
  </si>
  <si>
    <t>Cannot find. May have been archived</t>
  </si>
  <si>
    <t>SEB (no authors listed on report)</t>
  </si>
  <si>
    <t>Flu Vaccination Coverage, United States, 2022–23 Influenza Season</t>
  </si>
  <si>
    <t>https://www.cdc.gov/fluvaxview/coverage-by-season/2022-2023.html</t>
  </si>
  <si>
    <t>Hilda Razzaghi, Katherine E. Kahn, Kayla Calhoun, Emma Garacci, Tami H. Skoff, Sascha R. Ellington, Tara C. Jatlaoui, Carla L. Black</t>
  </si>
  <si>
    <t>Influenza, Tdap, and COVID-19 Vaccination Coverage and Hesitancy Among Pregnant Women — United States, April 2023</t>
  </si>
  <si>
    <t>DOI: 10.15585/mmwr.mm7239a4</t>
  </si>
  <si>
    <t>PMC10545430</t>
  </si>
  <si>
    <t>Kayla Calhoun, Katherine E. Kahn, Hilda Razzaghi, Emma Garacci, Megan Lindley, Carla L. Black</t>
  </si>
  <si>
    <t>Association of vaccine hesitancy with maternal influenza and Tdap vaccination coverage – United States, 2019–20 to 2022–23</t>
  </si>
  <si>
    <t xml:space="preserve">https://www.cdc.gov/fluvaxview/coverage-by-season/pregnant-2022-2023.html </t>
  </si>
  <si>
    <t>Mehreen Meghani,  Beatriz Salvesen Von Essen, Lauren B. Zapata, Kara Polen, Romeo R. Galang, Hilda Razzaghi, Dana Meaney-Delman, Grayson Waits, Sascha Ellington</t>
  </si>
  <si>
    <t>COVID-19 vaccination recommendations and practices for women of reproductive age — U.S. health care providers, Fall</t>
  </si>
  <si>
    <r>
      <t>Stephanie A. Irving, MHS</t>
    </r>
    <r>
      <rPr>
        <vertAlign val="superscript"/>
        <sz val="10"/>
        <color rgb="FF000000"/>
        <rFont val="Arial"/>
        <family val="2"/>
      </rPr>
      <t>a</t>
    </r>
    <r>
      <rPr>
        <sz val="10"/>
        <color rgb="FF000000"/>
        <rFont val="Arial"/>
        <family val="2"/>
      </rPr>
      <t>; Holly C. Groom, MPH</t>
    </r>
    <r>
      <rPr>
        <vertAlign val="superscript"/>
        <sz val="10"/>
        <color rgb="FF000000"/>
        <rFont val="Arial"/>
        <family val="2"/>
      </rPr>
      <t>a</t>
    </r>
    <r>
      <rPr>
        <sz val="10"/>
        <color rgb="FF000000"/>
        <rFont val="Arial"/>
        <family val="2"/>
      </rPr>
      <t>; Edward A. Belongia, MD</t>
    </r>
    <r>
      <rPr>
        <vertAlign val="superscript"/>
        <sz val="10"/>
        <color rgb="FF000000"/>
        <rFont val="Arial"/>
        <family val="2"/>
      </rPr>
      <t>b</t>
    </r>
    <r>
      <rPr>
        <sz val="10"/>
        <color rgb="FF000000"/>
        <rFont val="Arial"/>
        <family val="2"/>
      </rPr>
      <t>; Bradley Crane, MS</t>
    </r>
    <r>
      <rPr>
        <vertAlign val="superscript"/>
        <sz val="10"/>
        <color rgb="FF000000"/>
        <rFont val="Arial"/>
        <family val="2"/>
      </rPr>
      <t>a</t>
    </r>
    <r>
      <rPr>
        <sz val="10"/>
        <color rgb="FF000000"/>
        <rFont val="Arial"/>
        <family val="2"/>
      </rPr>
      <t>; Matthew F. Daley, MD</t>
    </r>
    <r>
      <rPr>
        <vertAlign val="superscript"/>
        <sz val="10"/>
        <color rgb="FF000000"/>
        <rFont val="Arial"/>
        <family val="2"/>
      </rPr>
      <t>c</t>
    </r>
    <r>
      <rPr>
        <sz val="10"/>
        <color rgb="FF000000"/>
        <rFont val="Arial"/>
        <family val="2"/>
      </rPr>
      <t>; Kristin Goddard, MPH</t>
    </r>
    <r>
      <rPr>
        <vertAlign val="superscript"/>
        <sz val="10"/>
        <color rgb="FF000000"/>
        <rFont val="Arial"/>
        <family val="2"/>
      </rPr>
      <t>d</t>
    </r>
    <r>
      <rPr>
        <sz val="10"/>
        <color rgb="FF000000"/>
        <rFont val="Arial"/>
        <family val="2"/>
      </rPr>
      <t>; Lisa A. Jackson, MD, MPH</t>
    </r>
    <r>
      <rPr>
        <vertAlign val="superscript"/>
        <sz val="10"/>
        <color rgb="FF000000"/>
        <rFont val="Arial"/>
        <family val="2"/>
      </rPr>
      <t>e</t>
    </r>
    <r>
      <rPr>
        <sz val="10"/>
        <color rgb="FF000000"/>
        <rFont val="Arial"/>
        <family val="2"/>
      </rPr>
      <t>; Tia L. Kauffman, MPH</t>
    </r>
    <r>
      <rPr>
        <vertAlign val="superscript"/>
        <sz val="10"/>
        <color rgb="FF000000"/>
        <rFont val="Arial"/>
        <family val="2"/>
      </rPr>
      <t>a</t>
    </r>
    <r>
      <rPr>
        <sz val="10"/>
        <color rgb="FF000000"/>
        <rFont val="Arial"/>
        <family val="2"/>
      </rPr>
      <t>; Tat’Yana A. Kenigsberg, MPH</t>
    </r>
    <r>
      <rPr>
        <vertAlign val="superscript"/>
        <sz val="10"/>
        <color rgb="FF000000"/>
        <rFont val="Arial"/>
        <family val="2"/>
      </rPr>
      <t>f</t>
    </r>
    <r>
      <rPr>
        <sz val="10"/>
        <color rgb="FF000000"/>
        <rFont val="Arial"/>
        <family val="2"/>
      </rPr>
      <t>; Leslie Kuckler, MPH</t>
    </r>
    <r>
      <rPr>
        <vertAlign val="superscript"/>
        <sz val="10"/>
        <color rgb="FF000000"/>
        <rFont val="Arial"/>
        <family val="2"/>
      </rPr>
      <t>g</t>
    </r>
    <r>
      <rPr>
        <sz val="10"/>
        <color rgb="FF000000"/>
        <rFont val="Arial"/>
        <family val="2"/>
      </rPr>
      <t>; Allison L. Naleway, PhD</t>
    </r>
    <r>
      <rPr>
        <vertAlign val="superscript"/>
        <sz val="10"/>
        <color rgb="FF000000"/>
        <rFont val="Arial"/>
        <family val="2"/>
      </rPr>
      <t>a</t>
    </r>
    <r>
      <rPr>
        <sz val="10"/>
        <color rgb="FF000000"/>
        <rFont val="Arial"/>
        <family val="2"/>
      </rPr>
      <t>; Suchita A. Patel, DO, MPH</t>
    </r>
    <r>
      <rPr>
        <vertAlign val="superscript"/>
        <sz val="10"/>
        <color rgb="FF000000"/>
        <rFont val="Arial"/>
        <family val="2"/>
      </rPr>
      <t>h</t>
    </r>
    <r>
      <rPr>
        <sz val="10"/>
        <color rgb="FF000000"/>
        <rFont val="Arial"/>
        <family val="2"/>
      </rPr>
      <t>; Hung Fu Tseng, PhD, MPH</t>
    </r>
    <r>
      <rPr>
        <vertAlign val="superscript"/>
        <sz val="10"/>
        <color rgb="FF000000"/>
        <rFont val="Arial"/>
        <family val="2"/>
      </rPr>
      <t>i</t>
    </r>
    <r>
      <rPr>
        <sz val="10"/>
        <color rgb="FF000000"/>
        <rFont val="Arial"/>
        <family val="2"/>
      </rPr>
      <t>; Josh T.B. Williams, MD</t>
    </r>
    <r>
      <rPr>
        <vertAlign val="superscript"/>
        <sz val="10"/>
        <color rgb="FF000000"/>
        <rFont val="Arial"/>
        <family val="2"/>
      </rPr>
      <t>j</t>
    </r>
    <r>
      <rPr>
        <sz val="10"/>
        <color rgb="FF000000"/>
        <rFont val="Arial"/>
        <family val="2"/>
      </rPr>
      <t>; Eric S. Weintraub, MPH</t>
    </r>
    <r>
      <rPr>
        <vertAlign val="superscript"/>
        <sz val="10"/>
        <color rgb="FF000000"/>
        <rFont val="Arial"/>
        <family val="2"/>
      </rPr>
      <t>f</t>
    </r>
  </si>
  <si>
    <t>Influenza vaccination coverage among persons ages six months and older in the Vaccine Safety Datalink in the 2017-18 through 2022-23 influenza seasons</t>
  </si>
  <si>
    <t>Suchita Patel (first CDC author), Eric Weintraub (last CDC author)</t>
  </si>
  <si>
    <t>DOI: 10.1016/j.vaccine.2023.10.02</t>
  </si>
  <si>
    <t>PMC10867768</t>
  </si>
  <si>
    <t>Preventive Medicine</t>
  </si>
  <si>
    <t>Matthew Daley, Liza Reifler, Jo Ann Shoup, Jason Glanz, Allison Naleway, Jennifer Nelson, Joshua Williams, Huong McLean, Gabriela Vazquez-Benitez, Kristin Goddard, Bruno Lewin, Eric Weintraub, Michael McNeil, Hilda Razzaghi (NCIRD), James Singleton (NCIRD)</t>
  </si>
  <si>
    <t>Racial and Ethnic Disparities in Influenza Vaccination Coverage Among Pregnant Women in the United States: The Contribution of Vaccine-Related Attitudes</t>
  </si>
  <si>
    <t>Yes (last author James Singleton)</t>
  </si>
  <si>
    <t>117</t>
  </si>
  <si>
    <t>DOI: 10.1016/j.ypmed.2023.107751</t>
  </si>
  <si>
    <t>PMC10881081</t>
  </si>
  <si>
    <t>Holly A. Hill, MD, PhD; David Yankey, PhD; Laurie D. Elam-Evans, PhD; Michael Chen, PhD; James A. Singleton, PhD</t>
  </si>
  <si>
    <t>Vaccination Coverage by Age 24 Months Among Children Born in 2019 and 2020 — National Immunization Survey-Child, United States, 2020–2022</t>
  </si>
  <si>
    <t>Yes (first author Holly Hill; last author James Singleton)</t>
  </si>
  <si>
    <t>DOI: 10.15585/mmwr.mm7244a3</t>
  </si>
  <si>
    <t>PMC10629749</t>
  </si>
  <si>
    <t>Ranee Seither, MPH1; Oyindamola Bidemi Yusuf, PhD1,2; Devon Dramann, MPH1,3; Kayla Calhoun, MS1; Agnes Mugerwa-Kasujja, MD1,2; Cynthia L. Knighton</t>
  </si>
  <si>
    <t xml:space="preserve"> Coverage with Selected Vaccines and Exemption from School Vaccine Requirements Among Children in Kindergarten — United States, 2022–23 School Year</t>
  </si>
  <si>
    <t>DOI: http://dx.doi.org/10.15585/mmwr.mm7245a2.</t>
  </si>
  <si>
    <t>PMC10651323</t>
  </si>
  <si>
    <r>
      <t>Carla L. Black, PhD</t>
    </r>
    <r>
      <rPr>
        <vertAlign val="superscript"/>
        <sz val="10"/>
        <color rgb="FF000000"/>
        <rFont val="Arial"/>
        <family val="2"/>
      </rPr>
      <t>1</t>
    </r>
    <r>
      <rPr>
        <sz val="10"/>
        <color rgb="FF000000"/>
        <rFont val="Arial"/>
        <family val="2"/>
      </rPr>
      <t>; Jennifer L. Kriss, PhD</t>
    </r>
    <r>
      <rPr>
        <vertAlign val="superscript"/>
        <sz val="10"/>
        <color rgb="FF000000"/>
        <rFont val="Arial"/>
        <family val="2"/>
      </rPr>
      <t>1</t>
    </r>
    <r>
      <rPr>
        <sz val="10"/>
        <color rgb="FF000000"/>
        <rFont val="Arial"/>
        <family val="2"/>
      </rPr>
      <t>; Hilda Razzaghi, PhD</t>
    </r>
    <r>
      <rPr>
        <vertAlign val="superscript"/>
        <sz val="10"/>
        <color rgb="FF000000"/>
        <rFont val="Arial"/>
        <family val="2"/>
      </rPr>
      <t>1</t>
    </r>
    <r>
      <rPr>
        <sz val="10"/>
        <color rgb="FF000000"/>
        <rFont val="Arial"/>
        <family val="2"/>
      </rPr>
      <t>; Suchita A. Patel, DO</t>
    </r>
    <r>
      <rPr>
        <vertAlign val="superscript"/>
        <sz val="10"/>
        <color rgb="FF000000"/>
        <rFont val="Arial"/>
        <family val="2"/>
      </rPr>
      <t>1</t>
    </r>
    <r>
      <rPr>
        <sz val="10"/>
        <color rgb="FF000000"/>
        <rFont val="Arial"/>
        <family val="2"/>
      </rPr>
      <t>; Tammy A. Santibanez, PhD</t>
    </r>
    <r>
      <rPr>
        <vertAlign val="superscript"/>
        <sz val="10"/>
        <color rgb="FF000000"/>
        <rFont val="Arial"/>
        <family val="2"/>
      </rPr>
      <t>1</t>
    </r>
    <r>
      <rPr>
        <sz val="10"/>
        <color rgb="FF000000"/>
        <rFont val="Arial"/>
        <family val="2"/>
      </rPr>
      <t>; Mehreen Meghani, MPH</t>
    </r>
    <r>
      <rPr>
        <vertAlign val="superscript"/>
        <sz val="10"/>
        <color rgb="FF000000"/>
        <rFont val="Arial"/>
        <family val="2"/>
      </rPr>
      <t>1</t>
    </r>
    <r>
      <rPr>
        <sz val="10"/>
        <color rgb="FF000000"/>
        <rFont val="Arial"/>
        <family val="2"/>
      </rPr>
      <t>; Ashley Tippins, MPH</t>
    </r>
    <r>
      <rPr>
        <vertAlign val="superscript"/>
        <sz val="10"/>
        <color rgb="FF000000"/>
        <rFont val="Arial"/>
        <family val="2"/>
      </rPr>
      <t>1</t>
    </r>
    <r>
      <rPr>
        <sz val="10"/>
        <color rgb="FF000000"/>
        <rFont val="Arial"/>
        <family val="2"/>
      </rPr>
      <t>; Shannon Stokley, DrPH</t>
    </r>
    <r>
      <rPr>
        <vertAlign val="superscript"/>
        <sz val="10"/>
        <color rgb="FF000000"/>
        <rFont val="Arial"/>
        <family val="2"/>
      </rPr>
      <t>1</t>
    </r>
    <r>
      <rPr>
        <sz val="10"/>
        <color rgb="FF000000"/>
        <rFont val="Arial"/>
        <family val="2"/>
      </rPr>
      <t>; Kevin Chatham-Stephens, MD</t>
    </r>
    <r>
      <rPr>
        <vertAlign val="superscript"/>
        <sz val="10"/>
        <color rgb="FF000000"/>
        <rFont val="Arial"/>
        <family val="2"/>
      </rPr>
      <t>2</t>
    </r>
    <r>
      <rPr>
        <sz val="10"/>
        <color rgb="FF000000"/>
        <rFont val="Arial"/>
        <family val="2"/>
      </rPr>
      <t>; Nicole F. Dowling, PhD</t>
    </r>
    <r>
      <rPr>
        <vertAlign val="superscript"/>
        <sz val="10"/>
        <color rgb="FF000000"/>
        <rFont val="Arial"/>
        <family val="2"/>
      </rPr>
      <t>1</t>
    </r>
    <r>
      <rPr>
        <sz val="10"/>
        <color rgb="FF000000"/>
        <rFont val="Arial"/>
        <family val="2"/>
      </rPr>
      <t>; Georgina Peacock, MD</t>
    </r>
    <r>
      <rPr>
        <vertAlign val="superscript"/>
        <sz val="10"/>
        <color rgb="FF000000"/>
        <rFont val="Arial"/>
        <family val="2"/>
      </rPr>
      <t>1</t>
    </r>
    <r>
      <rPr>
        <sz val="10"/>
        <color rgb="FF000000"/>
        <rFont val="Arial"/>
        <family val="2"/>
      </rPr>
      <t>; and James A. Singleton, PhD</t>
    </r>
    <r>
      <rPr>
        <vertAlign val="superscript"/>
        <sz val="10"/>
        <color rgb="FF000000"/>
        <rFont val="Arial"/>
        <family val="2"/>
      </rPr>
      <t>1</t>
    </r>
    <r>
      <rPr>
        <sz val="10"/>
        <color rgb="FF000000"/>
        <rFont val="Arial"/>
        <family val="2"/>
      </rPr>
      <t xml:space="preserve">  </t>
    </r>
  </si>
  <si>
    <t>Influenza, Updated COVID-19, and Respiratory Syncytial Virus Vaccination Coverage Among Adults--United States, Fall 2023</t>
  </si>
  <si>
    <t>DOI: 10.15585/mmwr.mm7251a4</t>
  </si>
  <si>
    <t>PMC10754266</t>
  </si>
  <si>
    <t>Nguyen K, Coy K (NCIRD), Black C (NCIRD), Scanlon P,  Singleton JA (NCIRD)</t>
  </si>
  <si>
    <t>Comparison of adult hesitancy towards COVID-19 vaccines and vaccines in general in the USA</t>
  </si>
  <si>
    <t>No</t>
  </si>
  <si>
    <t>DOI: 10.1016/j.vaccine.2023.12.042</t>
  </si>
  <si>
    <t>PMC11925216</t>
  </si>
  <si>
    <t>Seeskin ZH, Ganesh N, Maitra P, Herman P, Wolter KN, Copeland KR, English N, Chen MP (NCIRD), Singleton JA (NCIRD), Santibanez TA (NCIRD),  Yankey D (NCIRD), Elam‑Evans LD (NCIRD), Sterrett N (NCIRD), Smith CS (NCIRD), Gipson K (NCIRD), Meador S (NCIRD)</t>
  </si>
  <si>
    <t>Estimating County-Level Vaccination Coverage Using Small Area Estimation with the National Immunization Survey-Child</t>
  </si>
  <si>
    <t>DOI: https://doi.org/10.1016/j.vaccine.2023.12.046</t>
  </si>
  <si>
    <t>PMC12042557</t>
  </si>
  <si>
    <t>final published: https://doi.org/10.1016/j.vaccine.2023.12.046 ; (in press corrected proof posted online 12/23/023 https://www.sciencedirect.com/science/article/pii/S0264410X23014925?dgcid=author) ; final published</t>
  </si>
  <si>
    <t xml:space="preserve"> NCHS data brief online</t>
  </si>
  <si>
    <t>Villarroel MA, Galinsky AM, Lu, PJ (NCIRD), Pingali C (NCIRD)</t>
  </si>
  <si>
    <t>Human Papillomavirus Vaccination Coverage in Children Ages 9–17 Years: United States, 2022</t>
  </si>
  <si>
    <t>DOI: https://dx.doi.org/10.15620/cdc:145593</t>
  </si>
  <si>
    <t>Journal of Agriculture, Food Systems, and Community Development</t>
  </si>
  <si>
    <t>Smarsh, B., Yankey, D., Hung, M.-C., Blanck, H., Kriss, J., Flynn, M., Lu, P.-J., McGarry, S., Eastlake, A., Lainz, A., Singleton, J., &amp; Lincoln, J.</t>
  </si>
  <si>
    <t>Disparities in COVID-19 Vaccine Uptake, Attitudes, and Experiences Between Food System and Non-Food System Essential Workers</t>
  </si>
  <si>
    <t>DOI: https://doi.org/10.5304/jafscd.2024.132.012</t>
  </si>
  <si>
    <t>PMC11403359</t>
  </si>
  <si>
    <t>Disparities in COVID-19 vaccine uptake, attitudes, and experiences between food system and non–food system essential workers | Journal of Agriculture, Food Systems, and Community Development (foodsystemsjournal.org)</t>
  </si>
  <si>
    <t>Mehreen Meghani, Jamison Pike, Ashley Tippins, and Andrew J. Leidner</t>
  </si>
  <si>
    <t>Cost-Effectiveness Analysis of Routine Outreach and Catch-Up Campaign Strategies for MMR Vaccination in Chuuk, Federated States of Micronesia</t>
  </si>
  <si>
    <t>In press</t>
  </si>
  <si>
    <t>DOI: 10.1177/00333549241249672</t>
  </si>
  <si>
    <t>PMC11569631</t>
  </si>
  <si>
    <t>Mehreen Meghani is 1st author and is in SEB, so this should probably be included in the SEB tab</t>
  </si>
  <si>
    <t xml:space="preserve"> Matthew F. Daley, Liza M. Reifler, Jo Ann Shoup, Jason M. Glanz, Bruno J. Lewin, Nicola P. Klein, Elyse O. Kharbanda, Huong Q. McLean, Simon J. Hambidge, Jennifer C. Nelson, Allison L. Naleway, Eric S. Weintraub, Michael M. McNeil, Hilda Razzaghi, James A. Singleton</t>
  </si>
  <si>
    <t>Influenza vaccination accuracy among adults: Self-report compared with electronic health record data</t>
  </si>
  <si>
    <t>2740-2746</t>
  </si>
  <si>
    <t>DOI: 10.1016/j.vaccine.2024.03.052</t>
  </si>
  <si>
    <t>PMC11238074</t>
  </si>
  <si>
    <t>Influenza vaccination accuracy among adults: Self-report compared with electronic health record data - ScienceDirect</t>
  </si>
  <si>
    <t>Vaccines</t>
  </si>
  <si>
    <t>Olufunto A. Olusanya; Nina B. Masters; Fan Zhang; David E. Sugerman; Rosalind J. Carter; Debora Weiss; James A. Singleton</t>
  </si>
  <si>
    <t>Sociodemographic Trends and Correlation between Parental Hesitancy towards Pediatric COVID-19 Vaccines and Routine Childhood Immunizations in the United States: 2021–2022 National Immunization Survey—Child COVID Module</t>
  </si>
  <si>
    <t>12(5)</t>
  </si>
  <si>
    <t>495</t>
  </si>
  <si>
    <t>DOI: https://doi.org/10.3390/vaccines12050495</t>
  </si>
  <si>
    <t>PMC11126092</t>
  </si>
  <si>
    <t>Kushagra Vashist, David Yankey, Laurie D. Elam-Evans, Yi Mu, Madeleine R. Valier, Cassandra Pingali, Holly A. Hill, Tammy A. Santibanez, James A. Singleton</t>
  </si>
  <si>
    <t>Changes in vaccine hesitancy among parents of children aged 6 months – 17 Years, National Immunization Surveys, 2019–2022</t>
  </si>
  <si>
    <t>no</t>
  </si>
  <si>
    <t>DOI: 10.1016/j.vaccine.2024.05.037</t>
  </si>
  <si>
    <t>PMC11980179</t>
  </si>
  <si>
    <t xml:space="preserve">in press corrected proof </t>
  </si>
  <si>
    <t xml:space="preserve">Health Affairs </t>
  </si>
  <si>
    <t>Tsai Y, Singleton JA, Lindley MC, Jatlaoui TC</t>
  </si>
  <si>
    <t>The COVID-19 Uninsured Program: Nearly 39 Million Vaccine Doses Were Funded, 2020-2022</t>
  </si>
  <si>
    <t>979-984</t>
  </si>
  <si>
    <t>DOI: 10.1377/hlthaff.2023.00977</t>
  </si>
  <si>
    <t>PMC11908409</t>
  </si>
  <si>
    <t xml:space="preserve">Vaccine </t>
  </si>
  <si>
    <t xml:space="preserve"> Tammy A. Santibanez (NCIRD), Carla L. Black (NCIRD), Tianyi Zhou (NCIRD), Anup Srivastav (NCIRD); James A. Singleton (NCIRD)</t>
  </si>
  <si>
    <t>Parental Hesitancy about COVID-19, Influenza, HPV, and Other Childhood Vaccines</t>
  </si>
  <si>
    <t>DOI: https://doi.org/10.1016/j.vaccine.2024.07.040</t>
  </si>
  <si>
    <t>PMC11851174</t>
  </si>
  <si>
    <t>available online 7/17/2024  at https://www.sciencedirect.com/science/article/pii/S0264410X24008028.</t>
  </si>
  <si>
    <t xml:space="preserve">Online publication </t>
  </si>
  <si>
    <t>Hung MC; Srivastav A; Lu PJ ; Black CL; Lindley MC; Singleton JA</t>
  </si>
  <si>
    <t>Vaccination Coverage among Adults in the United States, National Health Interview Survey, 2022</t>
  </si>
  <si>
    <t>DOI: https://www.cdc.gov/adultvaxview/publications-resources/adult-vaccination-coverage-2022.html</t>
  </si>
  <si>
    <t>Online report, published October 4, 2024</t>
  </si>
  <si>
    <t xml:space="preserve"> Hilda Razzaghi (NCIRD); Emma Garacci (NCIRD); Katherine E. Kahn (NCIRD); Megan C. Lindley (NCIRD); Jefferson M. Jone (NCIRD); Shannon Stokley (NCIRD); Kayla Calhoun (NCIRD) ; Carla L. Black, (NCIRD)</t>
  </si>
  <si>
    <t>Maternal Respiratory Syncytial Virus (RSV) vaccination and receipt of RSV antibody (nirsevimab) by infants aged &lt;8 months — United States, April 2024</t>
  </si>
  <si>
    <t>DOI: http://dx.doi.org/10.15585/mmwr.mm7338a2</t>
  </si>
  <si>
    <t>PMC11563570</t>
  </si>
  <si>
    <t>Hung MC (NCIRD); Srivastav A (NCIRD); Lu PJ (NCIRD); Black CL (NCIRD); Lindley MC (NCIRD); Singleton JA (NCIRD) </t>
  </si>
  <si>
    <t>Aug/Sept 2024</t>
  </si>
  <si>
    <t xml:space="preserve">DOI: https://www.cdc.gov/adultvaxview/publications-resources/adult-vaccination-coverage-2022.html?CDC_AAref_Val=https://www.cdc.gov/vaccines/imz-managers/coverage/adultvaxview/pubs-resources/vaccination-coverage-adults-2022.html </t>
  </si>
  <si>
    <t>Vaccination Coverage among Adults in the United States, National Health Interview Survey, 2022 | CDC</t>
  </si>
  <si>
    <t>Cassandra Pingali, MPH, MS1; David Yankey, PhD1; Michael Chen, PhD1; Laurie D. Elam-Evans, PhD1; Lauri E. Markowitz, MD2; Carla L. DeSisto, PhD2; Sarah F. Schillie, MD3; Michelle Hughes, PhD3; Madeleine R. Valier, MPH1; Shannon Stokley, DrPH1; James A. Singleton, PhD</t>
  </si>
  <si>
    <t>National Vaccination Coverage Among Adolescents Aged 13–17 Years — National Immunization Survey-Teen, United States, 2023</t>
  </si>
  <si>
    <t>73</t>
  </si>
  <si>
    <t>708-714</t>
  </si>
  <si>
    <t>DOI: 10.15585/mmwr.mm7333a1</t>
  </si>
  <si>
    <t>PMC11349384</t>
  </si>
  <si>
    <t>National Vaccination Coverage Among Adolescents Aged 13–17 Years — National Immunization Survey-Teen, United States, 2023 | MMWR (cdc.gov)</t>
  </si>
  <si>
    <t>NORC and CDC</t>
  </si>
  <si>
    <t>National Immunization Survey-Teen Error Profile for the 2023 NIS-Teen</t>
  </si>
  <si>
    <t>Error Profile for the 2023 NIS-Teen (cdc.gov)</t>
  </si>
  <si>
    <t>Madeleine R. Valier, MPH1; David Yankey, PhD1; Laurie D. Elam-Evans, PhD1; Michael Chen, PhD1; Holly A. Hill, MD, PhD1; Yi Mu, PhD1; Cassandra Pingali, MS, MPH1; Juan A. Gomez, MS1,2; Bayo C. Arthur, MPH1; Tamara Surtees, MPH1; Samuel B. Graitcer, MD1; Nicole F. Dowling, PhD1; Shannon Stokley, DrPH1; Georgina Peacock, MD1; James A. Singleton, PhD</t>
  </si>
  <si>
    <t>Vital Signs: Trends and Disparities in Childhood Vaccination Coverage by Vaccines for Children Program Eligibility — National Immunization Survey-Child, United States, 2012–2022</t>
  </si>
  <si>
    <t>722-730</t>
  </si>
  <si>
    <t>DOI: 10.15585/mmwr.mm7333e1</t>
  </si>
  <si>
    <t>PMC11349383</t>
  </si>
  <si>
    <t>Vital Signs: Trends and Disparities in Childhood Vaccination Coverage by Vaccines for Children Program Eligibility — National Immunization Survey-Child, United States, 2012–2022 | MMWR (cdc.gov)</t>
  </si>
  <si>
    <t>Holly A. Hill, MD, PhD; David Yankey, PhD; Laurie D. Elam-Evans, PhD; Yi Mu, PhD; Michael Chen, PhD; Georgina Peacock, MD, MPH; James A. Singleton, PhD</t>
  </si>
  <si>
    <t>Decline in Vaccination Coverage by Age 24 Months and Vaccination Inequities Among Children Born in 2020 and 2021 — National Immunization Survey-Child, United States, 2021–2023 </t>
  </si>
  <si>
    <t>DOI: 10.15585/mmwr.mm7338a3</t>
  </si>
  <si>
    <t> PMC11563569</t>
  </si>
  <si>
    <t>Decline in Vaccination Coverage by Age 24 Months and Vaccination Inequities Among Children Born in 2020 and 2021 — National Immunization Survey-Child, United States, 2021–2023 | MMWR (cdc.gov)</t>
  </si>
  <si>
    <t>Ashley Tippins, MPH1; E.M. Boyd, MHCA2; Kelsey C. Coy, MPH2; Glodi Mutamba, MD, MPH2; Jennifer L. Kriss, PhD1</t>
  </si>
  <si>
    <t>Vaccination Coverage by Age 24 Months among Children Born During 2017–2021 — U.S.-Affiliated Pacific Islands</t>
  </si>
  <si>
    <t>DOI: 10.15585/mmwr.mm7338a4</t>
  </si>
  <si>
    <t>PMC11563571</t>
  </si>
  <si>
    <t>Vaccination Coverage by Age 24 Months Among Children Born During 2017–2021 — U.S.-Affiliated Pacific Islands | MMWR (cdc.gov)</t>
  </si>
  <si>
    <t>No authors listed, submitted by Tammy Santibanez</t>
  </si>
  <si>
    <t>Reasons Parents Gave for Not Having Their Child Vaccinated against COVID-19, October–December 2023</t>
  </si>
  <si>
    <t>Not yet</t>
  </si>
  <si>
    <t xml:space="preserve">https://www.cdc.gov/covidvaxview/publications/reasons-no-covid-19-vaccation-2023.html </t>
  </si>
  <si>
    <t>Earp M, Meng L, Black CL (NCIRD), Carter RJ (NCIRD), Lu PJ (NCIRD), Singleton JA (NCIRD), Chorba T</t>
  </si>
  <si>
    <t>Using regression tree analysis to examine demographic and geographic characteristics of COVID-19 vaccination trends over time, United States, May 2021-April 2022, National Immunization Survey Adult COVID Module</t>
  </si>
  <si>
    <t>42</t>
  </si>
  <si>
    <t>26</t>
  </si>
  <si>
    <t>DOI: https://doi.org/10.1016/j.vaccine.2024.126372</t>
  </si>
  <si>
    <t>PMC11563569</t>
  </si>
  <si>
    <t>Using regression tree analysis to examine demographic and geographic characteristics of COVID-19 vaccination trends over time, United States, May 2021–April 2022, National Immunization Survey Adult COVID Module - ScienceDirect</t>
  </si>
  <si>
    <t>Kahn KK (NCIRD), Garacci E (NCIRD), Razzaghi H (NCIRD), Jatlaoui TC (NCIRD), Skoff TH (NCIRD), Ellington SR (NCIRD), Black CL (NCIRD)</t>
  </si>
  <si>
    <t>Flu, Tdap, and COVID-19 Vaccination Coverage Among Pregnant Women – United States, April 2024</t>
  </si>
  <si>
    <t>Yes`</t>
  </si>
  <si>
    <t>Flu, Tdap, and COVID-19 Vaccination Coverage Among Pregnant Women – United States, April 2024 | FluVaxView | CDC</t>
  </si>
  <si>
    <t>Flu Vaccination Coverage, United States, 2023–24 Influenza Season</t>
  </si>
  <si>
    <t>Flu Vaccination Coverage, United States, 2023–24 Influenza Season | FluVaxView | CDC</t>
  </si>
  <si>
    <t>Mehreen Meghani, MPH1, Zhuping Garacci, MS2, Hilda Razzaghi, PhD1, Marie A. de Perio, MD3, Jeneita Bell, A. Scott Laney, PhD4, Carla L. Black, PhD1</t>
  </si>
  <si>
    <t>Influenza and COVID-19 Vaccination Coverage Among Health Care Personnel – United States, 2023-24 Influenza Season</t>
  </si>
  <si>
    <t>Influenza and COVID-19 Vaccination Coverage Among Health Care Personnel – United States, 2023-24 Influenza Season | FluVaxView | CDC</t>
  </si>
  <si>
    <t>No authors listed</t>
  </si>
  <si>
    <t>America’s Children: Key National Indicators of Well-Being, 2024, Immunization Indicators HC3A and HC3B (NIS-Child and NIS-Teen)</t>
  </si>
  <si>
    <t>fall 2024</t>
  </si>
  <si>
    <t>Online indicator updates https://www.childstats.gov/</t>
  </si>
  <si>
    <t>Calhoun K (NCIRD), Zhou T (NCIRD), Schorpp S (NCIRD), Black CL (NCIRD)</t>
  </si>
  <si>
    <t>Reasons for non-vaccination with COVID-19, influenza, and RSV vaccines during the 2023–24 respiratory virus season</t>
  </si>
  <si>
    <t>https://www.cdc.gov/respvaxview/publications/reasons-for-nonvaccination-2023-24.html</t>
  </si>
  <si>
    <t>Kriss JL (NCIRD), Black CL (NCIRD), Razzaghi H (NCIRD), Meghani M (NCIRD), Tippins A (NCIRD), Santibanez TA (NCIRD), Stokley S (NCIRD), Chatham-Stephens K (NCIRD), Dowling NF (NCIRD), Peacock G (NCIRD), Singleton JA (NCIRD)</t>
  </si>
  <si>
    <t>Influenza, COVID-19, and Respiratory Syncytial Virus Vaccination Coverage Among Adults — United States, Fall 2024</t>
  </si>
  <si>
    <t>DOI: 10.15585/mmwr.mm7346a1</t>
  </si>
  <si>
    <t>PMC11581203</t>
  </si>
  <si>
    <r>
      <t>Yuping Tsai, PhD</t>
    </r>
    <r>
      <rPr>
        <vertAlign val="superscript"/>
        <sz val="10"/>
        <color rgb="FF000000"/>
        <rFont val="Arial"/>
        <family val="2"/>
      </rPr>
      <t>1</t>
    </r>
    <r>
      <rPr>
        <sz val="10"/>
        <color rgb="FF000000"/>
        <rFont val="Arial"/>
        <family val="2"/>
      </rPr>
      <t>; James A. Singleton, PhD</t>
    </r>
    <r>
      <rPr>
        <vertAlign val="superscript"/>
        <sz val="10"/>
        <color rgb="FF000000"/>
        <rFont val="Arial"/>
        <family val="2"/>
      </rPr>
      <t>1</t>
    </r>
    <r>
      <rPr>
        <sz val="10"/>
        <color rgb="FF000000"/>
        <rFont val="Arial"/>
        <family val="2"/>
      </rPr>
      <t>; Jessica Leung, MPH</t>
    </r>
    <r>
      <rPr>
        <vertAlign val="superscript"/>
        <sz val="10"/>
        <color rgb="FF000000"/>
        <rFont val="Arial"/>
        <family val="2"/>
      </rPr>
      <t>2</t>
    </r>
    <r>
      <rPr>
        <sz val="10"/>
        <color rgb="FF000000"/>
        <rFont val="Arial"/>
        <family val="2"/>
      </rPr>
      <t>; Fangjun Zhou, PhD1; Tara C. Anderson, DVM, PhD</t>
    </r>
    <r>
      <rPr>
        <vertAlign val="superscript"/>
        <sz val="10"/>
        <color rgb="FF000000"/>
        <rFont val="Arial"/>
        <family val="2"/>
      </rPr>
      <t>2</t>
    </r>
    <r>
      <rPr>
        <sz val="10"/>
        <color rgb="FF000000"/>
        <rFont val="Arial"/>
        <family val="2"/>
      </rPr>
      <t>  </t>
    </r>
  </si>
  <si>
    <t>Herpes Zoster Vaccination among Medicare Beneficiaries with and without Prescription Drug Coverage</t>
  </si>
  <si>
    <t>DOI: 10.1016/j.vaccine.2024.126537</t>
  </si>
  <si>
    <t>PMC11878214</t>
  </si>
  <si>
    <t>https://pubmed.ncbi.nlm.nih.gov/39579649/</t>
  </si>
  <si>
    <t>No Authors listed</t>
  </si>
  <si>
    <t>America’s Children: Special Issue 2024, Maternal and Infant Health and Well-Being.</t>
  </si>
  <si>
    <t>Childstats.gov - America's Children: Special Issue 2024, Maternal and Infant Health and Well-being - Introduction</t>
  </si>
  <si>
    <t>duplicate of entry in row 59</t>
  </si>
  <si>
    <t>Ponesai Nyika, David Yankey, Laurie Elam-Evans, Sarah Meyer, Cassandra Pingali, Shannon Stokley, James Singleton</t>
  </si>
  <si>
    <t>Human Papillomavirus Vaccination Coverage Among Adolescent Boys and Girls in the United States: A Birth Year Cohort Analysis of the National Immunization Survey-Teen, 2016-2022</t>
  </si>
  <si>
    <t>DOI: https://doi.org/10.1016/j.vaccine.2024.126560</t>
  </si>
  <si>
    <t>PMC11694783 </t>
  </si>
  <si>
    <t>Human papillomavirus vaccination coverage among adolescent boys and girls in the United States: A birth year cohort analysis of the National Immunization Survey-Teen, 2016-2022 - PubMed</t>
  </si>
  <si>
    <t>NORC</t>
  </si>
  <si>
    <t>Error Profile for the 2024 NIS-Teen</t>
  </si>
  <si>
    <t>NIS Team</t>
  </si>
  <si>
    <t>NIS-Teen 2024 Data User's Guide</t>
  </si>
  <si>
    <t>NIS-Teen: A User's Guide for the 2024 PUF</t>
  </si>
  <si>
    <t>Stephanie A. Irving, MHS; Bradley Crane, MS; Eric S. Weintraub, MPH (NCEZID); Suchita A. Patel, DO, MPH3 (NCIRD); Hilda Razzaghi, PhD, MSPH (NCIRD); Matthew F. Daley, MD4; Brian Dixon, PhD, MPA5; James G. Donahue, PhD, DVM; Candace C. Fuller, PhD, MPH; Sharon Fuller, BA; Darios Getahun, MD, PhD; Sungching C. Glenn, MS; Simon J. Hambidge, MD, PhD; Lisa A. Jackson, MD, MPH; Karen B. Jacobson, MD, MPH; Elyse O. Kharbanda, MD, MPH; Judith C. Maro, PhD; Sean T. O’Leary, MD, MPH; Teresa Schmidt, PhD, MS; Katharine Sznajder, MD, MPH; Nancy S. Weinfield, PhD; Joshua T.B. Williams, MD; Ousseny Zerbo, PhD; Allison L. Naleway, PhD</t>
  </si>
  <si>
    <t>Infant Respiratory Syncytial Virus Immunization Coverage in the Vaccine Safety Datalink: 2023-24</t>
  </si>
  <si>
    <t>DOI: https://doi.org/10.1542/peds.2024-070240</t>
  </si>
  <si>
    <t>Infant Respiratory Syncytial Virus Immunization Coverage in the Vaccine Safety Datalink: 2023–2024 | Pediatrics | American Academy of Pediatrics</t>
  </si>
  <si>
    <t>Tippins, A. Acevedo, J. C. Palomeque, F. S. Coy, K. C. Chadd, P. Stowell, D. Ademokun, O. Apaisam, C. Basilius, M. Brostrom, R. Collazo, I. O. G. Encarnacion, J. Gerena, I. C. Hancock, T. Hunte-Ceasar, T. Judicpa, P. Leon-Guerrero, M. Martinez, M. Masunu, Y. Pangelinan, H. Parian, E. Pedro, D.</t>
  </si>
  <si>
    <t>Strategies to strengthen COVID-19 vaccine uptake and improve vaccine equity in U.S. Territories and Freely Associated States during the first six months of vaccine rollout</t>
  </si>
  <si>
    <t>DOI: 10.1016/j.vaccine.2024.05.005</t>
  </si>
  <si>
    <t>PMC11998123</t>
  </si>
  <si>
    <t>Expert Review of Vaccines</t>
  </si>
  <si>
    <t>Daley MF, Homdayjanakul KJ, Hurley LP, Lu PJ (NCIRD), Tsai Y (NCIRD), Black CL (NCIRD), Patel S (NCIRD), Singleton JA (NCIRD), Crane LA</t>
  </si>
  <si>
    <t>Strengths and limitations of non-survey-based data sources for assessing adult vaccination coverage in the United States</t>
  </si>
  <si>
    <t>DOI: 10.1080/14760584.2025.2483719</t>
  </si>
  <si>
    <t>PMC12083505</t>
  </si>
  <si>
    <t>https://pubmed.ncbi.nlm.nih.gov/40129365/#:~:text=DOI%3A-,10.1080/14760584.2025.2483719,-Free%20article</t>
  </si>
  <si>
    <t xml:space="preserve">Chronic Disease Prevention </t>
  </si>
  <si>
    <t>Lori A. Crane, PhD, MPH; Laura P. Hurley, MD, MPH; Matthew F. Daley, MD; Brenda Beaty, MSPH; John D. Rice, PhD; Kamonthip J. Homdayjanakul, DrPH, MPH; Jason Lyons, MA; Carla L. Black, PhD, MPH; Peng-Jun Lu, MD, PhD; James A. Singleton, PhD, MS</t>
  </si>
  <si>
    <t>Accuracy of Surveys for Estimating Coverage for Hepatitis A and B Vaccinations in Adults</t>
  </si>
  <si>
    <t>www.cdc.gov/pcd/issues/2026/25_0481.htm Preventing Chronic Disease. Accuracy of Surveys for Estimating Coverage for Hepatitis A and B Vaccinations in Adults</t>
  </si>
  <si>
    <t>Vaccine: X</t>
  </si>
  <si>
    <t>Sinead Morris (ID/NCIRD), Sarabeth Mathis, Jessie Chung, Brendan Flannery, Alissa O’Halloran, Catherine Bozio, Peng-Jun Lu, Tammy Santibanez, Peter Daly, Angiezel Merced-Morales, Krista Kniss, Alicia Budd, Lisa Grohskopf, Carrie Reed, Matthew Biggerstaff, Danielle Iuliano</t>
  </si>
  <si>
    <t>Coverage for Hepatitis A and B</t>
  </si>
  <si>
    <t>4/2/2025 (in press journal pre-proof online; accepted and online ahead of publication 8/7/2025</t>
  </si>
  <si>
    <t xml:space="preserve"> https://www.sciencedirect.com/science/article/pii/S2590136225000944</t>
  </si>
  <si>
    <t>Vaccine (accepted 6/16/2025, publication date TBD), posted online as pre-print on SSRN)</t>
  </si>
  <si>
    <t>Kahn K (NCIRD), Santibanez T (NCIRD), Jain A (NCIRD), Zhou T (NCIRD), Black C (NCIRD)</t>
  </si>
  <si>
    <t>Vaccinations in Adult</t>
  </si>
  <si>
    <t>Yes (contractor)</t>
  </si>
  <si>
    <t xml:space="preserve">4/10/2025 (online pre-print server); online Vaccine 7/1/2025 </t>
  </si>
  <si>
    <t>https://www.sciencedirect.com/science/article/pii/S0264410X25007121?dgcid=author    Parental Reasons for Non-Receipt of Influenza Vaccination Among Children 6 Months–17 Years and Changes Over Time, 2015–2024 by Katherine E. Kahn, Tammy A. Santibanez, Anurag Jain, Tianyi Zhou, Carla L. Black :: SSRN</t>
  </si>
  <si>
    <t>AJPM</t>
  </si>
  <si>
    <t>Dr. PJ Lu, Mei-Chuan Hung, PhD; Rayleen M. Lewis, MPH; Anup Srivastav, PhD; Sarah K. Brewer, PhD; Carla L. Black, PhD; James A. Singleton, PhD; Lauri E. Markowitz, MD</t>
  </si>
  <si>
    <t>Human papillomavirus (HPV) vaccination coverage among adults aged 27–45 years after 3 years of shared clinical decision-making recommendation</t>
  </si>
  <si>
    <t xml:space="preserve">https://www.sciencedirect.com/science/article/pii/S0749379725006488?via%3Dihub </t>
  </si>
  <si>
    <t>Accepted 11/13/2025, pub date tbd, PVD pending</t>
  </si>
  <si>
    <t>Mehreen Meghani, MPH, Hilda Razzaghi, PhD, Allison L. Naleway, PhD, Bradley Crane, MS, Stephanie A. Irving, MHS, Carla L. Black, PhD</t>
  </si>
  <si>
    <t>Influenza, COVID-19, and Respiratory Syncytial Virus (RSV) vaccination coverage among pregnant women, weekly estimation methodology vs. post-season estimation methodology, Vaccine Safety Datalink (VSD)</t>
  </si>
  <si>
    <t>ues</t>
  </si>
  <si>
    <t>Influenza, COVID-19, and Respiratory Syncytial Virus (RSV) vaccination coverage among pregnant women, weekly estimation methodology vs. post-season estimation methodology, Vaccine Safety Datalink (VSD) | RespVaxView | CDC</t>
  </si>
  <si>
    <t>Cassandra Pingali, MPH, MS1; David Yankey, PhD1; Laurie D. Elam-Evans, PhD1; Adam Trahan, MPH1,2; Lauri E. Markowitz, MD3; Carla L. DeSisto, PhD3; Michelle Hughes, PhD4; Madeleine R. Valier, MPH1; Shannon Stokley, DrPH1; James A. Singleton, PhD1</t>
  </si>
  <si>
    <t>Vaccination Coverage Among Adolescents Aged 13–17 Years — National Immunization Survey-Teen, United States, 2024</t>
  </si>
  <si>
    <t>DOI: 10.15585/mmwr.mm7333a1</t>
  </si>
  <si>
    <t> PMC11349384</t>
  </si>
  <si>
    <t>Ashley Tippins, MPH; E.M. Boyd, MHCA; Glodi Mutamba, MD, MPH; Kelsey C. Coy, MPH; Jennifer L. Kriss, PhD</t>
  </si>
  <si>
    <t>Vaccination Coverage Among Adolescents Aged 13–17 Years — U.S.-Affiliated Pacific Islands, 2013–2024</t>
  </si>
  <si>
    <t>Vaccination Coverage Among Adolescents Aged 13–17 Years — U.S.-Affiliated Pacific Islands, 2013–2024 | TeenVaxView | CDC</t>
  </si>
  <si>
    <t>Peng-jun Lu, MD, PhD1; Mei-Chuan Hung, PhD1,2; Anup Srivastav, PhD1,2; Jennifer L. Kriss, PhD1; Carla L. Black, PhD1; Tianyi Zhou, MPH1,2; Susanne Schorpp, PhD1,3; James A. Singleton, PhD1</t>
  </si>
  <si>
    <t>RSV vaccination uptake by the end of the 2024–25 respiratory virus season among adults aged 60–74 years at increased risk of severe RSV and adults aged ≥75 years</t>
  </si>
  <si>
    <t>RSV vaccination uptake by the end of the 2024–25 respiratory virus season among adults aged 60–74 years at increased risk of severe RSV and adults aged ≥75 years - ScienceDirect</t>
  </si>
  <si>
    <t>Vaccine (12/5/2025)</t>
  </si>
  <si>
    <t>Laura P. Hurley, MD, MPH, Lori A. Crane, PhD, MPH, Matthew F. Daley, MD, Brenda Beaty, MSPH, John D. Rice, PhD, Kamonthip J. Homdayjanakul, DrPH, MPH, Jason Lyons, MA, Yingbo Lou, MS, Laura Elliott, MA, Jo Ann Shoup, PhD, MS, Elise Robertson, MA, Brian Manning, MPH, Carla L. Black, PhD, MPH, Peng-Jun Lu, MD, PhD, James A. Singleton</t>
  </si>
  <si>
    <t>Accuracy of Self-Reported Vaccination Status using Surveys in Safety-net, Integrated and Rural Health Systems in Colorado</t>
  </si>
  <si>
    <t xml:space="preserve">https://www.sciencedirect.com/science/article/pii/S0264410X25013994?via%3Dihub </t>
  </si>
  <si>
    <t>PVD approved 12/1/25</t>
  </si>
  <si>
    <t>Mei-Chuan Hung, MPH, PhD; Anup Srivastav, B.V.Sc.&amp;A.H., MPVM, PhD; Peng-jun Lu, MD, PhD; Carla L. Black, PhD; Charleigh J. Granade, MPH; Tara C. Anderson, DVM, PhD; James A. Singleton, PhD</t>
  </si>
  <si>
    <t>Vaccination Coverage among Adults in the United States, National Health Interview Survey, 2023</t>
  </si>
  <si>
    <t>Vaccination Coverage among Adults in the United States, National Health Interview Survey, 2023 | AdultVaxView | CDC</t>
  </si>
  <si>
    <t>Katherine E. Kahn, MPH; Anurag Jain, MS; Tianyi Zhou, MPH; Mei-Chuan Hung, PhD; Anup Srivastav, PhD; Peng-Jun Lu, MD, PhD; Jennifer L. Kriss, PhD; Carla L. Black, PhD; James A. Singleton, PhD</t>
  </si>
  <si>
    <t>Flu Vaccination Coverage, United States, 2024–25 Influenza Season</t>
  </si>
  <si>
    <t>Flu Vaccination Coverage, United States, 2024–25 Influenza Season | FluVaxView | CDC</t>
  </si>
  <si>
    <t>Submitted</t>
  </si>
  <si>
    <t>JAMA Pediatrics (research letter) - rejected6/9/25; submitted to Pediatrics 7/8/2025, rejected 8/4/25. Submitted to Journal of Adolescent Health on 1/21/26</t>
  </si>
  <si>
    <r>
      <t>Cassandra Pingali, MPH, MS</t>
    </r>
    <r>
      <rPr>
        <vertAlign val="superscript"/>
        <sz val="10"/>
        <color rgb="FF000000"/>
        <rFont val="Arial"/>
        <family val="2"/>
      </rPr>
      <t>1</t>
    </r>
    <r>
      <rPr>
        <sz val="10"/>
        <color rgb="FF000000"/>
        <rFont val="Arial"/>
        <family val="2"/>
      </rPr>
      <t xml:space="preserve">; David Yankey, PhD </t>
    </r>
    <r>
      <rPr>
        <vertAlign val="superscript"/>
        <sz val="10"/>
        <color rgb="FF000000"/>
        <rFont val="Arial"/>
        <family val="2"/>
      </rPr>
      <t>1</t>
    </r>
    <r>
      <rPr>
        <sz val="10"/>
        <color rgb="FF000000"/>
        <rFont val="Arial"/>
        <family val="2"/>
      </rPr>
      <t>; Michael Chen, PhD</t>
    </r>
    <r>
      <rPr>
        <vertAlign val="superscript"/>
        <sz val="10"/>
        <color rgb="FF000000"/>
        <rFont val="Arial"/>
        <family val="2"/>
      </rPr>
      <t>1</t>
    </r>
    <r>
      <rPr>
        <sz val="10"/>
        <color rgb="FF000000"/>
        <rFont val="Arial"/>
        <family val="2"/>
      </rPr>
      <t>; Laurie D. Elam-Evans, PhD</t>
    </r>
    <r>
      <rPr>
        <vertAlign val="superscript"/>
        <sz val="10"/>
        <color rgb="FF000000"/>
        <rFont val="Arial"/>
        <family val="2"/>
      </rPr>
      <t>1</t>
    </r>
    <r>
      <rPr>
        <sz val="10"/>
        <color rgb="FF000000"/>
        <rFont val="Arial"/>
        <family val="2"/>
      </rPr>
      <t>; Lauri E. Markowitz, MD</t>
    </r>
    <r>
      <rPr>
        <vertAlign val="superscript"/>
        <sz val="10"/>
        <color rgb="FF000000"/>
        <rFont val="Arial"/>
        <family val="2"/>
      </rPr>
      <t>2</t>
    </r>
    <r>
      <rPr>
        <sz val="10"/>
        <color rgb="FF000000"/>
        <rFont val="Arial"/>
        <family val="2"/>
      </rPr>
      <t>, Carla L. DeSisto, PhD</t>
    </r>
    <r>
      <rPr>
        <vertAlign val="superscript"/>
        <sz val="10"/>
        <color rgb="FF000000"/>
        <rFont val="Arial"/>
        <family val="2"/>
      </rPr>
      <t>2</t>
    </r>
    <r>
      <rPr>
        <sz val="10"/>
        <color rgb="FF000000"/>
        <rFont val="Arial"/>
        <family val="2"/>
      </rPr>
      <t>, Ruth Stefanos, MD</t>
    </r>
    <r>
      <rPr>
        <vertAlign val="superscript"/>
        <sz val="10"/>
        <color rgb="FF000000"/>
        <rFont val="Arial"/>
        <family val="2"/>
      </rPr>
      <t>2</t>
    </r>
    <r>
      <rPr>
        <sz val="10"/>
        <color rgb="FF000000"/>
        <rFont val="Arial"/>
        <family val="2"/>
      </rPr>
      <t>, and James A. Singleton, PhD</t>
    </r>
    <r>
      <rPr>
        <vertAlign val="superscript"/>
        <sz val="10"/>
        <color rgb="FF000000"/>
        <rFont val="Arial"/>
        <family val="2"/>
      </rPr>
      <t>1</t>
    </r>
    <r>
      <rPr>
        <sz val="10"/>
        <color rgb="FF000000"/>
        <rFont val="Arial"/>
        <family val="2"/>
      </rPr>
      <t>.  </t>
    </r>
  </si>
  <si>
    <t>Simultaneous administration of human papillomavirus (HPV) vaccine with other recommended vaccines among adolescents aged 13-17 years, National Immunization Survey-Teen (NIS-Teen), United States, 2023</t>
  </si>
  <si>
    <t>Submitted 5/30/2025</t>
  </si>
  <si>
    <t>Pediatrics rejected 8/4/2025 Submitted to JAH on 1/21/26 and is currently under review</t>
  </si>
  <si>
    <t>Journal of Survey Statistics and Methodology</t>
  </si>
  <si>
    <t>Nicholas Davis, Tammy A. Santibanez (NCIRD), James A. Singleton (NCIRD), Katherine E. Kahn (NCIRD), Yusheng Zhai (NCIRD)</t>
  </si>
  <si>
    <t>Total Survey Error and Potential Overestimation of Childhood Influenza Vaccination in the National Immunization Survey</t>
  </si>
  <si>
    <t>Submitted 4/7/2025</t>
  </si>
  <si>
    <t>https://academic.oup.com/jssam/advance-article/doi/10.1093/jssam/smag005/8626003</t>
  </si>
  <si>
    <t>submitted 4/7/2025; revised to address comments and resubmitted 9/22/25</t>
  </si>
  <si>
    <t>AJPM (8/28/2025)</t>
  </si>
  <si>
    <t>Seth A. Meador; Mark J. Lamias; Andrew Kroger; Tammy A. Santibanez; Peng-Jun Lu; James Singleton; Suchita A. Patel</t>
  </si>
  <si>
    <t>Trends in Pediatric and Adult COVID-19, Influenza, and Routine Vaccinations Administered in Retail Pharmacies 2015 through 2023, United States</t>
  </si>
  <si>
    <t xml:space="preserve">PVD approved 12/1/25; </t>
  </si>
  <si>
    <t>Preventing Chronic Disease</t>
  </si>
  <si>
    <t>Lori A, Crane, Laura P. Hurley, Matthew F. Daly, Brenda Beaty, John D. Rice, Kamonthip J. Homdayjanakul, Jason Lyons, Carla L. Black, Peng-Jun Lu, James A. Singleton</t>
  </si>
  <si>
    <t>Are surveys accurate for estimating coverage for hepatitis A and B vaccinations in adults?</t>
  </si>
  <si>
    <t>Accepted</t>
  </si>
  <si>
    <t>Brendan Flannery, Katie Reinhart, Pengjun Lu, Tammy Santibanez, Anup Srivastav, Mei-Chuan Hung, Anurag Jain, Alicia Budd, Stacy Huang, Krista Kniss, Ashley Price, Erin Burns, Sascha Ellington</t>
  </si>
  <si>
    <t>Influenza Vaccine Effectiveness Against Pediatric Death in the United States: 2016–2025</t>
  </si>
  <si>
    <t>Zachary H. Seeskin, Michael Steffan, Brian Geistwhite, Maggie Yarbrough, Michael P. Chen (NCIRD), David Yankey (NCIRD), Yi Mu (NCIRD), Chalanda S. Smith (NCIRD), Tammy A. Santibanez (NCIRD), James A. Singleton (NCIRD), Holly A. Hill (NCIRD), Cassandra Pingali (NCIRD)</t>
  </si>
  <si>
    <t>Using Latent Class Analysis of Survey Data to Explore Parent Behaviors and Attitudes Regarding Children’s COVID Vaccinations</t>
  </si>
  <si>
    <t>DOI: 10.1016/j.vaccine.2025.128149</t>
  </si>
  <si>
    <t>https://pubmed.ncbi.nlm.nih.gov/41442863/</t>
  </si>
  <si>
    <t>Nicholas Davis, MS, Tammy A. Santibanez, PhD, James A. Singleton, PhD, Katherine E. Kahn, MPH, Yusheng Zhai, MSPH</t>
  </si>
  <si>
    <t>Total Survey Error and the Potential Overestimation of Childhood Influenza Vaccination in the National Immunization Survey</t>
  </si>
  <si>
    <t>Duplicate entry (See line 82)</t>
  </si>
  <si>
    <t>Holly A. Hill, MD, PhD; David Yankey, PhD; Laurie D. Elam-Evans, PhD; Yi Mu, PhD; Michael Chen, PhD; Shannon Stokley, DrPH; Georgina Peacock, MD, MPH; James A. Singleton, PhD</t>
  </si>
  <si>
    <t>Vaccination coverage by age 24 months among children born in 2021 and 2022 -- National Immunization Survey-Child, United States, 2022-2024</t>
  </si>
  <si>
    <t>Anup Srivastav; Mei-Chuan Hung; Peng-jun Lu; Kayla Calhoun; Susanne Schorpp; Min Kim; Carla L. Black</t>
  </si>
  <si>
    <t>Hepatitis B Vaccination Coverage among Adults in the United States, 2023</t>
  </si>
  <si>
    <t>Hepatitis B Vaccination Coverage among Adults in the United States, 2023 | AdultVaxView | CDC</t>
  </si>
  <si>
    <t>Mehreen Meghani; Zhuping Garucci; Hilda Razzaghi; Marie A. de Perio; A. Scott Laney; Jennifer L. Kriss; Carla L. Black</t>
  </si>
  <si>
    <t>Influenza and COVID-19 Vaccination Coverage Among Health Care Personnel — United States, 2024–25 Respiratory Virus Season</t>
  </si>
  <si>
    <t>Holly A. Hill, MD, PhD; David Yankey, PhD; Laurie D. Elam-Evans, PhD; Yi Mu, PhD; Michael Chen, PhD; Shannon Stokley, DrPH; Georgina Peacock, MD, James A Singleton, PhD</t>
  </si>
  <si>
    <t>Vaccination Coverage by Age 24 Months Among Children Born in 2021 and 2022 -- National Immunization Survey-Child, United States, 2022-2024</t>
  </si>
  <si>
    <t>10.15585/mmwr.mm7511a2</t>
  </si>
  <si>
    <t>Laura Calderwood, Suzanne Schorpp, Kayla Calhoun, Sara Mirza</t>
  </si>
  <si>
    <t>Attitudes towards a potential future norovirus vaccine in a representative survey of U.S. adults, February 2025</t>
  </si>
  <si>
    <t>10.1016/j.vaccine.2026.128538</t>
  </si>
  <si>
    <t>American Journal of Infection Control</t>
  </si>
  <si>
    <t>Seth A Meador MPH, Mark J Lamias BS, Andrew Kroger MD, Tammy A Santibanez PhD, Peng-Jun Lu MD, James Singleton PhD</t>
  </si>
  <si>
    <t>10.1016/j.ajic.2026.04.011</t>
  </si>
  <si>
    <t>Yuping Tsai, Ellen O Boundy, Carla L. Black, Fangjun Zhou, Megan C. Lindley, Hilda Razzaghi , and James A. Singleton</t>
  </si>
  <si>
    <t>Maternal Vaccination and Nirsevimab Immunization among Privately Insured Populations, 2023-2024</t>
  </si>
  <si>
    <t>Mei-Chuan Hung, Anup Srivastav, Peng-jun Lu, Charleigh J. Granade, Tara C. Anderson, and Carla L. Black</t>
  </si>
  <si>
    <t>Vaccination Coverage among Adults in the United States, National Health Interview Survey, 2024</t>
  </si>
  <si>
    <t>Vaccination Coverage among Adults in the United States, National Health Interview Survey, 2024 | AdultVaxView | CDC</t>
  </si>
  <si>
    <t xml:space="preserve">Hilda Razzaghi, Emma Garacci, Katherine E. Kahn, Mehreen Meghani, Jennifer L. Kriss, Megan C. Lindley, Jefferson M. Jones, Sascha Ellington, Michelle Hughes, Carla L. Black </t>
  </si>
  <si>
    <t>Maternal and Infant Immunizations for Respiratory Diseases, United States, May 2025</t>
  </si>
  <si>
    <t>Maternal and infant immunizations for respiratory diseases, United States, may 2025 - ScienceDirect</t>
  </si>
  <si>
    <t>Stephanie A. Irving, Bradley Crane,Eric S. Weintraub, Hilda Razzaghi, Mehreen Meghani, Carla Black, Sarah C.J. Jorgensen, Matthew F. Daley, Candace C. Fuller, Sharon Fuller, Darios Getahun, Sungching C. Glenn, Simon J. Hambidge, Lisa A. Jackson, Elyse O. Kharbanda, Nicola P. Klein, Sean T. O’Leary, Teresa Schmidt, Katharine Raisler, Nancy S. Weinfield, Joshua T.B. Williams, Ousseny Zerbo, Allison L. Naleway</t>
  </si>
  <si>
    <t>Temporal trends in Tdap vaccination coverage during pregnancy in the Vaccine Safety Datalink, 2016 through 2023</t>
  </si>
  <si>
    <t>Journal Name 
(please state where currently under review or final journal of publication)</t>
  </si>
  <si>
    <t>Doi</t>
  </si>
  <si>
    <t>Trivellore Raghunathan, Karen Kirtland, Ji Li, Kevin White, Bhavini Murthy, Xia Michelle Lin, Latreace Harris, Lynn Gibbs-Scharf, Elizabeth Zell</t>
  </si>
  <si>
    <t>Constructing State and National Estimates of Vaccination Rates from Immunization Information Systems</t>
  </si>
  <si>
    <t>DOI: https://doi.org/10.1093/jssam/smac042</t>
  </si>
  <si>
    <t>https://doi.org/10.1093/jssam/smac042</t>
  </si>
  <si>
    <t>?</t>
  </si>
  <si>
    <t xml:space="preserve">Ryan Saelee, Neil Chandra Murthy, Bhavini Patel Murthy, Elizabeth Zell, Lauren Shaw, Lynn Gibbs-Scharf, LaTreace Harris, Kate M. Shaw </t>
  </si>
  <si>
    <t>Minority Health Social Vulnerability Index and COVID-19 vaccination coverage — The United States, December 14, 2020–January 31, 2022</t>
  </si>
  <si>
    <t>DOI: 10.1016/j.vaccine.2023.02.022</t>
  </si>
  <si>
    <t>PMC9922574</t>
  </si>
  <si>
    <t xml:space="preserve">Murthy BP; Fast HE,  Zell E,  Murthy N, Meng, Shaw L, Vogt T, Chatham-Stephens K, Santibanez TM, Gibbs-Scharf L, Harris LQ </t>
  </si>
  <si>
    <t xml:space="preserve">COVID-19 vaccination coverage and demographic characteristics of children aged 6 months–4 years — United States, June 20–December 31, 2022 </t>
  </si>
  <si>
    <t>DOI: 10.15585/mmwr.mm7207a4</t>
  </si>
  <si>
    <t>PMC9949848</t>
  </si>
  <si>
    <t>Christine Kim, PhD, MSPH, Angela Guo, MBA, MPH, Diana Yassanye, MSeD, Ruth Link-Gelles, PhD, MPH, Kirsten Yates, MPH, Chris Duggar, MPH, Lori Moore, PharmD, Roua El Kalach, PharmD, BCPS, Nkenge Jones-Jack, PhD, MPH, Chastity Walker, DrPH, Lynn Gibbs Scharf, MPH, Satish K. Pillai, MD, and Anita Patel, PharmD</t>
  </si>
  <si>
    <t>The US Federal Retail Pharmacy Program: Optimizing COVID-19 Vaccine Delivery Through a Strategic Public–Private Partnership</t>
  </si>
  <si>
    <t>DOI: 10.1177/00333549231186606</t>
  </si>
  <si>
    <t>doi: 10.1177/00333549231186606</t>
  </si>
  <si>
    <t> PMC10576480</t>
  </si>
  <si>
    <t>Lynn Gibbs Scharf, Kafayat Adeniyi, Emily Augustini, Deborah Boyd, Laura Corvin, Roua El Kalach, Hannah Fast a, Janet Fath, LaTreace Harris a, Danielle Henderson, Jan Hiks-Thomson, Nkenge Jones-Jack, Amanda Kellerman, Agha (Nabeel) Khan, Sunanda (Shu) McGarvey, Jennifer E. McGehee, Christine E. Miner, Lori B. Moore, Bhavini Patel Murthy, Stuart Myerburg, Elizabeth Neuhaus, Kimvy Nguyen, Melody Parker, Susan Pierce-Richards, David Samchok, Lauren K. Shaw, Samantha Spoto, Arunkumar Srinivasan, Carla Stearle, Jacob Thomas, Mark Winarsky, Elizabeth Zell</t>
  </si>
  <si>
    <t>Monitoring and reporting the US COVID-19 vaccination effort</t>
  </si>
  <si>
    <t>DOI: https://doi.org/10.1016/j.vaccine.2023.12.005</t>
  </si>
  <si>
    <t>https://doi.org/10.1016/j.vaccine.2023.12.005</t>
  </si>
  <si>
    <t>PMC11169087</t>
  </si>
  <si>
    <t>Monitoring and reporting the US COVID-19 vaccination effort - ScienceDirect</t>
  </si>
  <si>
    <t xml:space="preserve">Jones-Jack, N., El Kalach, R., Yassanye, D., Link-Gelles, R., Olorukooba, A., deMartino, A. K., Elam, M., Romerhausen, D., Vazquez, M., Duggar, C., Kim, C., Patel, A., Guo, A., Gharpure, R., Tippins, A., Moore, L., </t>
  </si>
  <si>
    <t>Advancing public health informatics during the COVID-19 pandemic: Lessons learned from a public-private partnership with pharmacies</t>
  </si>
  <si>
    <t>S0264-410X(24)00116-6</t>
  </si>
  <si>
    <t>9/17/2024 (initial release 1/31/24; re-released 9/17/24 as part of full supplement)</t>
  </si>
  <si>
    <t>DOI: 10.1016/j.vaccine.2024.01.092</t>
  </si>
  <si>
    <t>10.1016/j.vaccine.2024.01.092</t>
  </si>
  <si>
    <t>PMC11932155</t>
  </si>
  <si>
    <t xml:space="preserve">Advancing public health informatics during the COVID-19 pandemic: Lessons learned from a public-private partnership with pharmacies - PubMed (nih.gov)
</t>
  </si>
  <si>
    <t>Lu Meng , LaTreace Harris, Lauren Shaw, Hoody Lymon, Hannah Reses, Jeneita Bell, Peng-Jun Lu, Lynn Gibbs-Scharf, Terence Chorba</t>
  </si>
  <si>
    <t>Social and demographic factors associated with receipt of a COVID-19 vaccine initial booster dose and with interval between primary series completion and initial booster dose uptake among persons aged ≥ 12 years, United States, August 2021-October 2022</t>
  </si>
  <si>
    <t>Volume 42, Issue 9</t>
  </si>
  <si>
    <t>2122-2126</t>
  </si>
  <si>
    <t>DOI: https://doi.org/10.1016/j.vaccine.2024.02.089</t>
  </si>
  <si>
    <t>https://doi.org/10.1016/j.vaccine.2024.02.089</t>
  </si>
  <si>
    <t> PMC11187615</t>
  </si>
  <si>
    <t>Social and demographic factors associated with receipt of a COVID-19 vaccine initial booster dose and with interval between primary series completion and initial booster dose uptake among persons aged ≥ 12 years, United States, August 2021-October 2022 - ScienceDirect</t>
  </si>
  <si>
    <t>El Kalach, R. Jones-Jack, N., Elam, M. A. Olorukooba, A. Vazquez, M. Stokley, S. Meyer, S. McGarvey, S. Nguyen, K. Scharf, L. G. Harris, L. Q. Duggar, C. Moore, L. B.</t>
  </si>
  <si>
    <t>Federal Retail Pharmacy Program Contributions to Bivalent mRNA COVID-19 Vaccinations Across Sociodemographic Characteristics - United States, September 1, 2022-September 30, 2023</t>
  </si>
  <si>
    <t>73(13)</t>
  </si>
  <si>
    <t>286–290</t>
  </si>
  <si>
    <t>DOI: http://dx.doi.org/10.15585/mmwr.mm7313a2</t>
  </si>
  <si>
    <t>http://dx.doi.org/10.15585/mmwr.mm7313a2</t>
  </si>
  <si>
    <t>PMC10997041</t>
  </si>
  <si>
    <t>Federal Retail Pharmacy Program Contributions to Bivalent mRNA COVID-19 Vaccinations Across Sociodemographic Characteristics — United States, September 1, 2022–September 30, 2023 | MMWR (cdc.gov)</t>
  </si>
  <si>
    <t>Treharne, A., Patel Murthy, B., Zell, E. R., Jones-Jack, N., Loper, O., Bakshi, A., Nalla, A., Kuramoto, S., Cheng, I., Dykstra, A., Robison, S. G., Youngers, E. H. , Schauer, S., Gibbs Scharf, L., Harris, L.</t>
  </si>
  <si>
    <t>Impact of the COVID-19 pandemic on routine childhood vaccination in 9 U.S. jurisdictions</t>
  </si>
  <si>
    <t>Volume 42, Issue 22</t>
  </si>
  <si>
    <t>DOI: 10.1016/j.vaccine.2024.05.045</t>
  </si>
  <si>
    <t>10.1016/j.vaccine.2024.05.045</t>
  </si>
  <si>
    <t>PMC12067246</t>
  </si>
  <si>
    <t>Impact of the COVID-19 pandemic on routine childhood vaccination in 9 U.S. jurisdictions - PubMed (nih.gov)</t>
  </si>
  <si>
    <t>Journal of Perinatology</t>
  </si>
  <si>
    <t>Anstey, E., Noiman, A., Boundy, E., Nelson J.</t>
  </si>
  <si>
    <t>Maternity care practices supportive of breastfeeding in U.S. advanced neonatal care units, United States, 2022</t>
  </si>
  <si>
    <t>DOI: https://doi.org/10.1038/s41372-024-02139-3</t>
  </si>
  <si>
    <t>https://doi.org/10.1038/s41372-024-02139-3</t>
  </si>
  <si>
    <t>Maternity care practices supportive of breastfeeding in U.S. advanced neonatal care units, United States, 2022 | Journal of Perinatology</t>
  </si>
  <si>
    <t>Journal of the American Pharmacists Association</t>
  </si>
  <si>
    <t>Roua R. El Kalach; Nkenge H. Jones-Jack; John D. Grabenstein; Mattie Elam; Abdulhakeem Olorukooba; Amee K. deMartino; Marley Vazquez; Shannon Stokley; Sarah A. Meyer; Teresa W. Wang; Andrew Himsel; Connor Medernach; Kendra Jenkins; Stacey Marovich; Meranda D. Bradley; Brian J. Manns; Doug Romerhausen; Lori B. Moore</t>
  </si>
  <si>
    <t>Pharmacists’ Answer to the COVID-19 Pandemic: Contribution of the Federal Retail Pharmacy Program to COVID-19 Vaccination— United States </t>
  </si>
  <si>
    <t>TBD: Volume 65, Issue 1</t>
  </si>
  <si>
    <t>DOI: https://doi.org/10.1016/j.japh.2024.102305</t>
  </si>
  <si>
    <t>https://doi.org/10.1016/j.japh.2024.102305</t>
  </si>
  <si>
    <t>PMC11839327</t>
  </si>
  <si>
    <t>Manuscript accepted - pub date TBD</t>
  </si>
  <si>
    <t>Applied Clinical Informatics</t>
  </si>
  <si>
    <t>Faisal Reza, Caroline Jones, Jenica H Reed</t>
  </si>
  <si>
    <t>Improving Immunization Health Care Data Quality using Two-dimensional barcoding and barcode scanning practices</t>
  </si>
  <si>
    <t> 15(02)</t>
  </si>
  <si>
    <t>265-273</t>
  </si>
  <si>
    <t>DOI: 10.1055/a-2255-9749</t>
  </si>
  <si>
    <t>10.1055/a-2255-9749</t>
  </si>
  <si>
    <t xml:space="preserve"> PMC10990595 </t>
  </si>
  <si>
    <t>Thieme E-Journals - Applied Clinical Informatics / Abstract</t>
  </si>
  <si>
    <t>Hospital Pediatrics</t>
  </si>
  <si>
    <t>Marks KJ, Gosdin L, Boundy EO, Anstey EH, Ko JY, Nelson JM</t>
  </si>
  <si>
    <t>Hospital Practices and Policies for Neonatal Abstinence Syndrome — United States, 2022</t>
  </si>
  <si>
    <t>15(7)</t>
  </si>
  <si>
    <t>e302–e308</t>
  </si>
  <si>
    <t>DOI: https://doi.org/10.1542/hpeds.2024-008074</t>
  </si>
  <si>
    <t>https://doi.org/10.1542/hpeds.2024-008074</t>
  </si>
  <si>
    <t>Belongs in IDAB list</t>
  </si>
  <si>
    <t>Journal of the American Medical Informatics Association  (not accepted, being resubmitted to Vaccine)</t>
  </si>
  <si>
    <t xml:space="preserve">Marley Vazquez and Abdulhakeem Olorukooba, Roua El-Kalach, Lori Moore, Mattie A. Elam, Amee Demartino, Laura Corvin, Samantha Spoto, Kimvy Nguyen, Danielle Henderson, Sunanda McGarvey, Emily Augustini, Jennifer McGehee, Nkenge Jones-Jack </t>
  </si>
  <si>
    <t xml:space="preserve">COVID-19 Immunization Data Quality: Leveraging Data Quality Reviews among Commercial Pharmacy and Dialysis Partners </t>
  </si>
  <si>
    <t>yes</t>
  </si>
  <si>
    <t>Belongs in IDAB list- submission paused</t>
  </si>
  <si>
    <t>Ellen Boundy, Hannah Fast, Tara Jatlaoui, Hilda Razzaghi, LaTreace Harris, Kimberly Nguyen, Jamie Mells, Georgina Peacock, Carla Black</t>
  </si>
  <si>
    <t>Respiratory syncytial virus immunization coverage among infants through receipt of nirsevimab monoclonal antibody or maternal vaccination  — United States, October 2023–March 2024</t>
  </si>
  <si>
    <t>http://dx.doi.org/10.15585/mmwr.mm7431a3</t>
  </si>
  <si>
    <t>webpage</t>
  </si>
  <si>
    <t>Prev Chron Dis</t>
  </si>
  <si>
    <t>Pike J, Kompaniyets L, Lindley MC, Saydah S, Miller G</t>
  </si>
  <si>
    <t>Direct medical costs associated with long COVID among privately insured children and adults</t>
  </si>
  <si>
    <t>DOI: 10.5888/pcd20.220292</t>
  </si>
  <si>
    <t>PMC9923935</t>
  </si>
  <si>
    <t>JAMA Netw Open</t>
  </si>
  <si>
    <t>Prosser L, Wagner A, Wittenberg E, Zikmund-Fisher BJ, Rose A, Pike J</t>
  </si>
  <si>
    <t>A Discrete Choice Analysis Comparing COVID-19 Vaccination Decisions for Children and Adults</t>
  </si>
  <si>
    <t>6(1)</t>
  </si>
  <si>
    <t>DOI: 10.1001/jamanetworkopen.2022.53582</t>
  </si>
  <si>
    <t>PMC9887501</t>
  </si>
  <si>
    <t>The Lancet</t>
  </si>
  <si>
    <t>Ellington S, Jatlaoui TC</t>
  </si>
  <si>
    <t>COVID-19 vaccination is effective at preventing severe illness and complications during pregnancy</t>
  </si>
  <si>
    <t xml:space="preserve"> </t>
  </si>
  <si>
    <t>DOI: 10.1016/S0140-6736(22)02613-7</t>
  </si>
  <si>
    <t>PMC9844991</t>
  </si>
  <si>
    <t xml:space="preserve">Isenhour CJ, Skoff TH, Lindley MC, Zhou FJ, Hariri S. </t>
  </si>
  <si>
    <t>Tetanus, Diphtheria, and Acellular Pertussis Vaccination Coverage among Publicly Insured Pregnant Women, United States, 2016-2019</t>
  </si>
  <si>
    <t>DOI: 10.1016/j.focus.2022.100060</t>
  </si>
  <si>
    <t>PMC10546573</t>
  </si>
  <si>
    <t>Not sure about exact date of publication online</t>
  </si>
  <si>
    <t>Journal of Adolescent Health</t>
  </si>
  <si>
    <t>Gidengil CA, Parker AM, Gedlinske AM, Askelson NM, Petersen CA, Lindley MC (NCIRD), Woodworth KR, Scherer AM</t>
  </si>
  <si>
    <t>Parental Perceptions Related to Co-Administration of Adolescent COVID-19 and Routine Vaccines</t>
  </si>
  <si>
    <t>DOI: 10.1016/j.jadohealth.2022.11.242</t>
  </si>
  <si>
    <t>PMC9722677</t>
  </si>
  <si>
    <t>Fairlie TA (NCIRD), Chu B, Thomas ES, Querns AK, Hoag S, Lyons A, Koziol M, Englund JA, Anderson EM, Grafff K, Rigel S, Bell TR, Saydah S (NCIRD), Chatham-Stephens K (NCIRD), Vogt TM (NCIRD), Briggs-Hagen M</t>
  </si>
  <si>
    <t xml:space="preserve">School-based interventions to increase student COVID-19 vaccination coverage in low uptake school populations in Seattle, WA, December 2021-June 2022    </t>
  </si>
  <si>
    <t>DOI: 10.15585/mmwr.mm7211a3</t>
  </si>
  <si>
    <t>PMC10027407</t>
  </si>
  <si>
    <t>Obsteterics and Gynecology</t>
  </si>
  <si>
    <t>Zhou F, Lindley MC, Lee JT, Jatlaoui TC</t>
  </si>
  <si>
    <t>Association between influenza vaccination during pregnancy and infant influeza vaccination</t>
  </si>
  <si>
    <t>DOI: 10.1097/AOG.0000000000005101</t>
  </si>
  <si>
    <t>PMC11259230</t>
  </si>
  <si>
    <t>Value in Health</t>
  </si>
  <si>
    <t>Leidner AJ, Anderson TC, Hong K, Ortega-Sanchez IR, Guo A, Pike J, Prosser LA, Dooling KL</t>
  </si>
  <si>
    <t>Cost-Effectiveness Analysis of Vaccination With Recombinant Zoster Vaccine Among Hematopoietic Cell Transplant Recipients and Persons With Other Immunocompromising Conditions Aged 19 to 49 Years</t>
  </si>
  <si>
    <t>26/2</t>
  </si>
  <si>
    <t>204-215</t>
  </si>
  <si>
    <t>DOI: 10.1016/j.jval.2022.08.003</t>
  </si>
  <si>
    <t>PMC11309022</t>
  </si>
  <si>
    <t>Clinical Pediatrics</t>
  </si>
  <si>
    <t>Kang Y, Zhang F, Chatham-Stephens K, Carter RJ, Vogt T</t>
  </si>
  <si>
    <t>Vacines for Children Provider Practices in the COVID-19 Vaccination Program: Barriers to Participation, Intentions to Offer COVID-19 Vaccination to Children Aged &lt;5 years, and Vaccination Promotion, United States, March 2022</t>
  </si>
  <si>
    <t xml:space="preserve">Volume 62, Issue 12 </t>
  </si>
  <si>
    <t>1479-1488</t>
  </si>
  <si>
    <t>December 2023 (Pre-print: 3/15/2023)</t>
  </si>
  <si>
    <t>DOI: 10.1177/00099228231161335</t>
  </si>
  <si>
    <t>PMC10018114</t>
  </si>
  <si>
    <t>Peer reviewed (couldn’t add into the appropriate column for some reason)</t>
  </si>
  <si>
    <t>JMIR</t>
  </si>
  <si>
    <t>Wilhelm E , Ballalai I , Belanger M , Benjamin P , Bertrand-Ferrandis C , Bezbaruah S , Briand S , Brooks I , Bruns R , Bucci LM , Calleja N , Chiou H , Devaria A , Dini L , D'Souza H , Dunn AG , Eichstaedt JC , Evers SMAA , Gobat N , Gissler M , Gonzales IC , Gruzd A , Hess S , Ishizumi A , John O , Joshi A , Kaluza B , Khamis N , Kosinska M , Kulkarni S , Lingri D , Ludolph R , Mackey T , Mandić-Rajčević S , Menczer F , Mudaliar V , Murthy S , Nazakat S , Nguyen T , Nilsen J , Pallari E , Pasternak Taschner N , Petelos E , Prinstein MJ , Roozenbeek J , Schneider A , Srinivasan V , Stevanović A , Strahwald B , Syed Abdul S , Varaidzo Machiri S , van der Linden S , Voegeli C , Wardle C , Wegwarth O , White BK , Willie E , Yau B , Purnat TD</t>
  </si>
  <si>
    <t>Measuring the Burden of Infodemics: Summary of the Methods and Results of the Fifth WHO Infodemic Management Conference</t>
  </si>
  <si>
    <t>Volume 3</t>
  </si>
  <si>
    <t>DOI: 10.2196/44207</t>
  </si>
  <si>
    <t>PMC9989916</t>
  </si>
  <si>
    <t>Prasad N, Stoecker C, Xing W, Cho BH, Leidner AJ, Kobayashi M</t>
  </si>
  <si>
    <t>Public Health Impact and Cost Effectiveness of 15-Valent Pneumococcal Conjugate Vaccine Use Among the Pediatric Population of the United States</t>
  </si>
  <si>
    <t>DOI: 10.1016/j.vaccine.2023.03.045</t>
  </si>
  <si>
    <t> PMC10962013</t>
  </si>
  <si>
    <t>accepted for publication on 3/22/2023</t>
  </si>
  <si>
    <t>Gidengil CA, Parker AM, Markowitz LE, Gedlinske AM, Askelson NM, Petersen CA, Meites E, Lindley MC, Scherer AM</t>
  </si>
  <si>
    <t>Health care provider knowledge around shared clinical decision-making regarding HPV vaccination of adults aged 27-45 years in the United States</t>
  </si>
  <si>
    <t>DOI: 10.1016/j.vaccine.2023.02.051</t>
  </si>
  <si>
    <t>PMC10337214</t>
  </si>
  <si>
    <t>T Sonia Boender,  Paula Schneider, Claudia Houareau, Tina D Purnat, Atsuyoshi Ishizumi, Elisabeth Wilhelm, Christopher Voegeli, Lothar Wieler, Christina Leuker</t>
  </si>
  <si>
    <t>Establishing infodemic management in Germany: a framework for social listening and integrated analysis to report insights at the national public health institute</t>
  </si>
  <si>
    <t>DOI: 10.2196/43646</t>
  </si>
  <si>
    <t>PMC10273031</t>
  </si>
  <si>
    <t>accepted for publication on 4/09/2023</t>
  </si>
  <si>
    <t>Aspen P. Riser, MPH1,*; Allison Hanley, PhD1,2,*; Michael Cima, PhD3; Linda Lewis, DVM4; Kayla Saadeh, MPH4; Jemma Alarcón, MD2,5; Lauren Finn, MPH5; Moon Kim, MD5; Jeremy Adams, PhD6; Douglas Holt, MD6; Amanda Feldpausch, DVM7; Jessica Pavlick, DrPH7; Andrew English8; Marguerite Smith, MPH8; Tyler Rehman9; Ronald Lubelchek, MD10; Stephanie Black, MD11; Matthew Collins, MPH12; Layne Mounsey, MPH12; David Blythe, MD13; Meredith Hodach Avalos, MD14; Ellen H. Lee, MD15; Olivia Samson, MPH15; Marcia Wong, MD15; B. Denise Stokich16; Ellen Salehi, MPH17; Lynn Denny, MPH17; Kirsten Waller, MD18; Pamela Talley, MD19; Julie Schuman, MPH19; Michael Fischer, MD20; Stephen White, PhD20; Kenneth Davis20; Ashley Caeser Cuyler, MPH21; Rabeeya Sabzwari, MD22; Robert N. Anderson, PhD1; Katrina Byrd, MD1,2; Jeremy A. W. Gold, MD1; Shannon Kindilien, PhD1; James T. Lee, MD1; Siobhán O’Connor, MD1; Jesse O’Shea, MD1; LaTweika A. T. Salmon-Trejo, MPH1; Raquel Velazquez-Kronen, PhD1; Carla Zelaya, PhD1; William Bower, MD1; Sascha Ellington, PhD1; Adi V. Gundlapalli, MD, PhD1; Andrea M. McCollum, PhD1; Leah Zilversmit Pao, PhD1; Agam K. Rao, MD1; Karen K. Wong, MD1; Sarah Anne J. Guagliardo, PhD1</t>
  </si>
  <si>
    <t>Epidemiologic and Clinical Features of Mpox-Associated Deaths — United States, May 10, 2022–March 7, 2023</t>
  </si>
  <si>
    <t>72 (15)</t>
  </si>
  <si>
    <t>404-410</t>
  </si>
  <si>
    <t>DOI: 10.15585/mmwr.mm7215a5</t>
  </si>
  <si>
    <t>PMC10121256</t>
  </si>
  <si>
    <t>Vaccine X</t>
  </si>
  <si>
    <t>Bo-HyunCho, AlissaO'Halloran, Jamison J.Pike</t>
  </si>
  <si>
    <t>Investigation of barriers to county-level seasonal influenza vaccine uptake among medicare beneficiaries in the United States – 2018–2019 seasonal influenza season</t>
  </si>
  <si>
    <t>100326</t>
  </si>
  <si>
    <t>DOI: 10.1016/j.jvacx.2023.100326</t>
  </si>
  <si>
    <t>PMC10422654</t>
  </si>
  <si>
    <t>Available online June 5, 2023</t>
  </si>
  <si>
    <t>Health Promotion Practice</t>
  </si>
  <si>
    <t>Kathleen Holmes1, MPH (2) Margaret Gutierrez-Nkomo1, MPH (3) John Donovan1, MPH (4) Brian J. Manns2, PharmD (5) Stephanie Griswold3, MPH (6) Regina Edwards1, MPA (7) Stephen A. Flores2, PhD (8) Amy Parker Fiebelkorn1, MSN, MPH</t>
  </si>
  <si>
    <t>Operationalizing the Centers for Disease Control and Prevention’s Vaccinate with Confidence Framework During the COVID-19 Emergency Response in the United States</t>
  </si>
  <si>
    <t>Pre print published online 7/31
https://doi.org/10.1177/15248399231188106</t>
  </si>
  <si>
    <t>DOI: 10.1177/15248399231188106</t>
  </si>
  <si>
    <t>PMC11334055</t>
  </si>
  <si>
    <t xml:space="preserve">Accepted for publication on 6/9;
</t>
  </si>
  <si>
    <t>J Adolesc Health</t>
  </si>
  <si>
    <t xml:space="preserve">Grace W. Ryan, Natoshia M. Askelson, Kate R. Woodworth, Megan C. Lindley, Amber Gedlinske, Andrew M. Parker, Courtney A. Gidengil, Christine A. Petersen, Aaron M. Scherer </t>
  </si>
  <si>
    <t>Unvaccinated adolescents’ COVID-19 vaccine intentions: Implications for public health messaging</t>
  </si>
  <si>
    <t>TBD/in press</t>
  </si>
  <si>
    <t>DOI: 10.1016/j.jadohealth.2023.05.023</t>
  </si>
  <si>
    <t>PMC10529916</t>
  </si>
  <si>
    <t>MMWR Recomm Rep</t>
  </si>
  <si>
    <t xml:space="preserve">Kobayashi M, Pilishvili T, Farrar JL, Leidner AJ, Girke R, Prasad N, Moro P, Campos-Outcalt D, Morgan RL, Long SS, Poehling KA, Cohen AL. </t>
  </si>
  <si>
    <t>Pneumococcal Vaccine for Adults Aged ≥19 Years: Recommendations of the Advisory Committee on Immunization Practices, United States, 2023</t>
  </si>
  <si>
    <t>2023;72(No. RR-3)</t>
  </si>
  <si>
    <t>1–39</t>
  </si>
  <si>
    <t>DOI: 10.15585/mmwr.rr7203a1</t>
  </si>
  <si>
    <t>PMC10495181</t>
  </si>
  <si>
    <t>Kahn R, Zielinski L, Gedlinske A, Askelson NM, Petersen C, Parker AM, Gidengil CA, Albert AP, Jiles AJ, Lindley MC, Kobayashi M, Scherer AM.</t>
  </si>
  <si>
    <t>Health Care Provider Knowledge and Attitudes Regarding Adult Pneumococcal Conjugate Vaccine Recommendations - United States, September 28-October 10, 2022</t>
  </si>
  <si>
    <t>72(36)</t>
  </si>
  <si>
    <t>DOI: 10.15585/mmwr.mm7236a2</t>
  </si>
  <si>
    <t> 37676840</t>
  </si>
  <si>
    <t>PMC10495187</t>
  </si>
  <si>
    <t>Influenza Other Respir Viruses</t>
  </si>
  <si>
    <t>K. Zureick, M. McCarron, P. Dawson, J. K. Davis, J. Barnes, D. Wentworth and E. Azziz‐Baumgartner</t>
  </si>
  <si>
    <t>Strengthening influenza surveillance capacity in the Eastern Mediterranean Region: nearly two decades of direct support from the United States Centers for Disease Control and Prevention</t>
  </si>
  <si>
    <t>2023 Vol. 17 Issue 11</t>
  </si>
  <si>
    <t>DOI: 10.1111/irv.13220</t>
  </si>
  <si>
    <t>PMC10626284</t>
  </si>
  <si>
    <t>Lymon H, Meng L, Reses HE, Barbre K, Dubendris H, Shafi S, Wiegand R, Reddy GRTY, Woods A, Kuhar DT, Stuckey MJ, Lindley MC, Haas L, Qureshi I, Wong E, Benin A, Bell JM.</t>
  </si>
  <si>
    <t>Declines in Influenza Vaccination Coverage Among Health Care Personnel in Acute Care Hospitals During the COVID-19 Pandemic - United States, 2017-2023</t>
  </si>
  <si>
    <t>72(45)</t>
  </si>
  <si>
    <t>1244-1247</t>
  </si>
  <si>
    <t>DOI: 10.15585/mmwr.mm7245a6</t>
  </si>
  <si>
    <t>PMC10651322</t>
  </si>
  <si>
    <t>Bell J, Meng L, Barbre K, Haanschoten E, Reses HE, Soe M, Edwards J, Massey J, Tugu Yagama Reddy GR, Woods A, Stuckey MJ, Kuhar DT, Bolden K, Dubendris H, Wong E, Rowe T, Lindley MC, Kalayil EJ, Benin A.</t>
  </si>
  <si>
    <t>Influenza and Up-to-Date COVID-19 Vaccination Coverage Among Health Care Personnel - National Healthcare Safety Network, United States, 2022-23 Influenza Season</t>
  </si>
  <si>
    <t>1237-1243</t>
  </si>
  <si>
    <t>DOI: 10.15585/mmwr.mm7245a5</t>
  </si>
  <si>
    <t>PMC10651318</t>
  </si>
  <si>
    <t>Reses HE, Dubendris H, Haas L, Barbre K, Ananth S, Rowe T, Mothershed E, Hall E, Wiegand RE, Lindley MC, Meyer S, Patel SA, Benin A, Kroop S, Srinivasan A, Bell JM.</t>
  </si>
  <si>
    <t>Coverage with Influenza, Respiratory Syncytial Virus, and Updated COVID-19 Vaccines Among Nursing Home Residents - National Healthcare Safety Network, United States, December 2023</t>
  </si>
  <si>
    <t>72(51)</t>
  </si>
  <si>
    <t>1371-1376</t>
  </si>
  <si>
    <t>DOI: 10.15585/mmwr.mm7251a3</t>
  </si>
  <si>
    <t> PMC10754267</t>
  </si>
  <si>
    <t>Health Affairs Scholar</t>
  </si>
  <si>
    <t>Koppaka R, Wharton M, Lindley MC, Kohli J, Morita J</t>
  </si>
  <si>
    <t>Increasing equity in adult immunization through community-level action</t>
  </si>
  <si>
    <t>1(6)</t>
  </si>
  <si>
    <t>DOI: https://doi.org/10.1093/haschl/qxad071</t>
  </si>
  <si>
    <t>PMC10986300</t>
  </si>
  <si>
    <r>
      <t>Neetu Abad, Kimberly E. Bonner, Jessica Kolis, Kathryn A. Brookmeyer, Chris Voegeli (NCIRD), </t>
    </r>
    <r>
      <rPr>
        <b/>
        <sz val="10"/>
        <color rgb="FF000000"/>
        <rFont val="Arial"/>
        <family val="2"/>
      </rPr>
      <t>James T. Lee</t>
    </r>
    <r>
      <rPr>
        <sz val="10"/>
        <color rgb="FF000000"/>
        <rFont val="Arial"/>
        <family val="2"/>
      </rPr>
      <t xml:space="preserve"> (NCIRD), James A. Singleton (NCIRD), Richard Quartarone, Carla Black (NCIRD), Daiva Yee, Aparna Ramakrishnan, Leslie Rodriguez, Kelly Clay, Sarah Hummer, Kathleen Holmes (NCIRD), Brian J. Manns, John Donovan, Tiffany Humbert-Rico (NCIRD), Stephen A. Flores, Stephanie Griswold…Amanda Cohn</t>
    </r>
  </si>
  <si>
    <t>Strengthening COVID-19 vaccine confidence &amp; demand during the US COVID-19 emergency response</t>
  </si>
  <si>
    <t>In press, corrected proof online 1/23/2024</t>
  </si>
  <si>
    <t>DOI: 10.1016/j.vaccine.2024.01.029</t>
  </si>
  <si>
    <t>James Lee (ARISE) is 1st listed current ISD co-author, so this should probably go under ARISE; part of special issue on CDC covid response; probably did not correctly identifyall ISD coauthors</t>
  </si>
  <si>
    <r>
      <rPr>
        <b/>
        <sz val="10"/>
        <color rgb="FF000000"/>
        <rFont val="Arial"/>
        <family val="2"/>
      </rPr>
      <t>Meg McCarron</t>
    </r>
    <r>
      <rPr>
        <sz val="10"/>
        <color rgb="FF000000"/>
        <rFont val="Arial"/>
        <family val="2"/>
      </rPr>
      <t>, Perrine Marcenac, Tat S. Yau, Kathryn E. Lafond, Malembe S Ebama, Lindsey M. Duca, Gayane Sahakyan,Silvia Bino, Daouda Coulibaly, Gideon Emukule, Vieng Khanthamaly, Imad Cherkaoui, Afif Ben Salah,  Abdulakhad Safarov, Dinagul Otorbaeva, Kristina Stravidis, Ledor S. Igboh, Eduardo Azziz-Baumgartner,Joseph S. Bresee</t>
    </r>
  </si>
  <si>
    <t>Healthcare personnel acceptance and recommendations for influenza vaccine in twelve low- and middle-income countries: a pooled analysis from 2018–2020.</t>
  </si>
  <si>
    <t>DOI: https://doi.org/10.1016/j.vaccine.2024.01.095</t>
  </si>
  <si>
    <t>PMC11464209</t>
  </si>
  <si>
    <t>Meg (Margaret) McCarron (ARISE) is first author. Accepted and available online</t>
  </si>
  <si>
    <t>Jamison Pike, James Reiss Lueken, Julie Zajac, Ashley Tippins,  Shani Doss, Adina De Coteau, Chitra Punjabi, Maria Souto , Achal Bhatt</t>
  </si>
  <si>
    <t>2022 Polio Outbreak, Rockland County, NY: Cost Evaluation of Strategies to Prevent Future Outbreaks of Vaccine-Preventable Diseases</t>
  </si>
  <si>
    <t>02/16/24 - online</t>
  </si>
  <si>
    <t>DOI: 10.1016/j.vaccine.2024.02.025</t>
  </si>
  <si>
    <t>PMC11345848</t>
  </si>
  <si>
    <t xml:space="preserve">Samrawit G. Ashenafi; Gisela Medina Martinez; Tara C. Jatlaoui; Ram Koppaka; Moria Byrne-Zaaloff; Adolph P. Falcón; Alexa Frank; Sheree H. Keitt; Katherine Matus; Synovia Moss; Charmaine Ruddock; Tracy Sun; Mary B. Waterman; Tsu-Yin Wu </t>
  </si>
  <si>
    <t>Design and Implementation of a Federal Program to Engage Community Partners to Reduce Disparities in Adult COVID-19 Immunization Uptake, United States, 2021-2022</t>
  </si>
  <si>
    <t>DOI: https://doi.org/10.1177/00333549231208642</t>
  </si>
  <si>
    <t>PMC11339670</t>
  </si>
  <si>
    <t>https://www.cdc.gov/adultvaxview/publications-resources/vaccination-coverage-adults-2021.html</t>
  </si>
  <si>
    <t>Bell J, Meng L, Barbre K, Wong E, Lape-Newman B, Koech W, Soe MM, Woods A, Kuhar DT, Stuckey MJ, Dubendris H, Rowe T, Lindley MC, Kalayil EJ, Edwards J, Benin A, Reses HE.</t>
  </si>
  <si>
    <t>Influenza and COVID-19 Vaccination Coverage Among Health Care Personnel - National Healthcare Safety Network, United States, 2023-24 Respiratory Virus Season</t>
  </si>
  <si>
    <t>YES</t>
  </si>
  <si>
    <t>DOI: 10.15585/mmwr.mm7343a2</t>
  </si>
  <si>
    <t>PMC11527362</t>
  </si>
  <si>
    <t>Gidengil CA, Scherer AM, Parker AM, Gedlinske AM, Fleck-Derderian S, Hinckley AF, Hook SA, Lindley MC (NCIRD), Marx GE</t>
  </si>
  <si>
    <t>Lyme Disease Vaccine Attitudes and Intentions Among Parents of Children Aged 5–18 Years in the United States</t>
  </si>
  <si>
    <t>1899-1905</t>
  </si>
  <si>
    <t>DOI: 10.1016/j.vaccine.2024.01.081.</t>
  </si>
  <si>
    <t>Accepted and corrected proof online.  Epub 2024 Feb 28.</t>
  </si>
  <si>
    <t xml:space="preserve">Vaccine  </t>
  </si>
  <si>
    <t>Dana Meaney-Delman , Sarah Carroll, Kara Polen, Tara C. Jatlaoui, Sarah Meyer, Sara Oliver, Julianne Gee, Tom Shimabukuro, Hilda Razzaghi, Laura Riley, Romeo R. Galang, Van Tong, Suzanne Gilboa, Sascha Ellington, Amanda Cohn</t>
  </si>
  <si>
    <t>Planning for the future of maternal immunization: Building on lessons learned from the COVID-19 pandemic</t>
  </si>
  <si>
    <t>DOI: 10.1016/j.vaccine.2024.01.069</t>
  </si>
  <si>
    <t>PMC11349930</t>
  </si>
  <si>
    <t xml:space="preserve">Accepted and corrected proof online          </t>
  </si>
  <si>
    <t>Charleigh J. Granade, Nathan E. Crawford, Michelle Banks, Sam Graitcer</t>
  </si>
  <si>
    <t>Analysis of the Federal Section 317 Immunization Program and Routine Adult Immunization Activities, United States, 2022-2023</t>
  </si>
  <si>
    <t>DOI: 10.1177/00333549241236085</t>
  </si>
  <si>
    <t>PMC11344976</t>
  </si>
  <si>
    <t>Accepted and available online</t>
  </si>
  <si>
    <t>Yoonjae Kang, Seth Meador, Carla L. Black, Tara Vogt</t>
  </si>
  <si>
    <t>Recovery of measles-containing and HPV vaccine ordering post-COVID-19 pandemic: Trends by public vs. private funding source, urbanicity, and state – United States, January 2018 – December 2022</t>
  </si>
  <si>
    <t>Available 3/27/2024</t>
  </si>
  <si>
    <t>DOI: https://doi.org/10.1016/j.ypmed.2024.107936</t>
  </si>
  <si>
    <t>PMC11973972</t>
  </si>
  <si>
    <t>Journal of Inectious Diseases</t>
  </si>
  <si>
    <r>
      <rPr>
        <b/>
        <sz val="10"/>
        <color rgb="FF000000"/>
        <rFont val="Arial"/>
        <family val="2"/>
      </rPr>
      <t>McCarron M,</t>
    </r>
    <r>
      <rPr>
        <sz val="10"/>
        <color rgb="FF000000"/>
        <rFont val="Arial"/>
        <family val="2"/>
      </rPr>
      <t xml:space="preserve"> Yau TS, Griffin C, Marcenac P, Ebama MS, Lafond KE, Igboh LS, Duca LM, Bino S, Bettaieb J, Dhaouadi S, Sahakyan G, Cherkaoui I, Alj L, Coulibaly D, Lutwama JJ, Douba A, N'Gattia A, Khanthamaly V, Tengbriacheu C, Patthammavong C, Lambach P, Otorbaeva D, Azziz-Baumgartner E, Bresee JS</t>
    </r>
  </si>
  <si>
    <t>Do pregnant persons want influenza vaccines? Knowledge, attitudes, perceptions, and practices toward influenza vaccines in 8 low- and middle-income countries</t>
  </si>
  <si>
    <t>DOI: 10.1093/infdis/jiae340</t>
  </si>
  <si>
    <t> PMC11693768</t>
  </si>
  <si>
    <t xml:space="preserve"> Meg (Margaret) McCarron (ARISE) is first author. Accepted and available online</t>
  </si>
  <si>
    <r>
      <t xml:space="preserve">Coulibaly D, Douba A, N'Guessan K, N'Gattia AK, Kadjo H, Ebama MS, </t>
    </r>
    <r>
      <rPr>
        <b/>
        <sz val="10"/>
        <color rgb="FF000000"/>
        <rFont val="Arial"/>
        <family val="2"/>
      </rPr>
      <t>McCarron M</t>
    </r>
    <r>
      <rPr>
        <sz val="10"/>
        <color rgb="FF000000"/>
        <rFont val="Arial"/>
        <family val="2"/>
      </rPr>
      <t>, Bresee J</t>
    </r>
  </si>
  <si>
    <t>Intent to receive flu vaccine and influenza vaccination coverage among health professionals during 2019, 2020 and 2021 campaigns in Côte d'Ivoire</t>
  </si>
  <si>
    <t>DOI: 10.1016/j.vaccine.2024.06.043</t>
  </si>
  <si>
    <t>PMC11464181</t>
  </si>
  <si>
    <r>
      <t xml:space="preserve">Gobin S, Sahakyan G, Appiah MK, Manukyan A, Palayan K, Ebama MS, Vayan A, </t>
    </r>
    <r>
      <rPr>
        <b/>
        <sz val="10"/>
        <color rgb="FF000000"/>
        <rFont val="Arial"/>
        <family val="2"/>
      </rPr>
      <t>McCarron M,</t>
    </r>
    <r>
      <rPr>
        <sz val="10"/>
        <color rgb="FF000000"/>
        <rFont val="Arial"/>
        <family val="2"/>
      </rPr>
      <t xml:space="preserve"> Bresee J</t>
    </r>
  </si>
  <si>
    <t>Costs of in- and outpatient respiratory disease and the seasonal influenza vaccination program in Armenia - 2020-2021</t>
  </si>
  <si>
    <t>DOI: https://doi.org/10.1016/j.vaccine.2024.05.055</t>
  </si>
  <si>
    <t> PMC11464208</t>
  </si>
  <si>
    <r>
      <t xml:space="preserve">Olufunto A. Olusanya; Nina B. Masters; Fan Zhang; David E. Sugerman; </t>
    </r>
    <r>
      <rPr>
        <b/>
        <sz val="10"/>
        <color rgb="FF000000"/>
        <rFont val="Arial"/>
        <family val="2"/>
      </rPr>
      <t>Rosalind J. Carter</t>
    </r>
    <r>
      <rPr>
        <sz val="10"/>
        <color rgb="FF000000"/>
        <rFont val="Arial"/>
        <family val="2"/>
      </rPr>
      <t>; Debora Weiss; James A. Singleton</t>
    </r>
  </si>
  <si>
    <t>DOI: 10.3390/vaccines12050495</t>
  </si>
  <si>
    <t> PMC11126092</t>
  </si>
  <si>
    <t>PLOS Glob Public Health</t>
  </si>
  <si>
    <t>A Koyuncu, RJ Carter, J Musaazi,  A  Namageyo-Funa, VM Carter, M Lamorde, D Prybylski, R Apondi, AL Boore, J Homsy, VR Brown, J Kigozi, MS Nabaggala, V Nakate, E Nkurunziza, DF Stowell, R Walwema, A Olowo, MF Jalloh</t>
  </si>
  <si>
    <t>Public perceptions of Ebola vaccines and confidence in health services to treat Ebola, malaria, and tuberculosis: Findings from a cross-sectional household survey in Uganda, 2020</t>
  </si>
  <si>
    <t>3(12)</t>
  </si>
  <si>
    <t>DOI: 10.1371/journal.pgph.0001884</t>
  </si>
  <si>
    <t xml:space="preserve"> PMC10729951</t>
  </si>
  <si>
    <t>J Public Health Manag Pract</t>
  </si>
  <si>
    <t>GJ Bautista, V Madera-Garcia, RJ Carter, A Schwitters, R Byrkit, N Carnes, J Prejean</t>
  </si>
  <si>
    <t>Reducing Vaccination Disparities During a National Emergency Response: The US Mpox Vaccine Equity Pilot Program</t>
  </si>
  <si>
    <t>30(1)</t>
  </si>
  <si>
    <t>DOI: 10.1097/PHH.0000000000001818. </t>
  </si>
  <si>
    <t> PMC10843777</t>
  </si>
  <si>
    <t>K Chatham-Stephens, RJ Carter, C Duggar, KR Woodworth, CA Carnes, A Bhatt, C Ottis, C Voegeli, S Stokley, T Vogt</t>
  </si>
  <si>
    <t>An overview of the COVID-19 pediatric vaccine program - The U.S. experience vaccinating children ages 6 months through 17 years</t>
  </si>
  <si>
    <t>DOI: 10.1016/j.vaccine.2024.02.019</t>
  </si>
  <si>
    <t>SJ Guagliardo, I Kracalik, R J Carter, C Braden, R Free, M Hamal, A Tuttle, AM McCollum, AK Rao</t>
  </si>
  <si>
    <t>Monkeypox Virus Infections After 2 Preexposure Doses of JYNNEOS Vaccine - United States, May 2022-May 2024</t>
  </si>
  <si>
    <t>73(20)</t>
  </si>
  <si>
    <t>460-466</t>
  </si>
  <si>
    <t>DOI: 10.15585/mmwr.mm7320a3</t>
  </si>
  <si>
    <t>PMC11115437</t>
  </si>
  <si>
    <t> PMC11464209</t>
  </si>
  <si>
    <t>Alaya Koneru, Katelyn Wells, Catherine Amanda Carnes, Kathryn Drumhiller, Kevin Chatham-Stephens, Mackenzie Melton, Hilary Oliphant, Stacy Hall, Cori Dennison, Michelle Fiscus, Tara Vogt</t>
  </si>
  <si>
    <t>A survey of state and local practices encouraging pediatric COVID-19 vaccination of children ages 6 months through 11 years</t>
  </si>
  <si>
    <t>DOI: 10.1016/j.vaccine.2024.03.064</t>
  </si>
  <si>
    <t>PMC11913171</t>
  </si>
  <si>
    <t>Public Health Reports®</t>
  </si>
  <si>
    <t>Meghani M, Pike J, Tippins A, Leidner AJ</t>
  </si>
  <si>
    <t>Cost-Effectiveness Analysis of Routine Outreach and Catch-Up Campaign Strategies for Measles, Mumps, and Rubella Vaccination in Chuuk, Federated States of Micronesia.</t>
  </si>
  <si>
    <t> PMC11569631</t>
  </si>
  <si>
    <t xml:space="preserve">D. Hutton, L. Prosser, A. Rose, K. Mercon, I. Ortega-Sanchez, A. Leidner, M. McMorrow, K. Fleming-Dutra, M. Prill, J. Pike, J. Jones </t>
  </si>
  <si>
    <t>Cost-Effectiveness of Nirsevimab for Respiratory Syncytial Virus in Infants and Young Children</t>
  </si>
  <si>
    <t>154(56)</t>
  </si>
  <si>
    <t>Cost-Effectiveness of Nirsevimab for Respiratory Syncytial Virus in Infants and Young Children | Pediatrics | American Academy of Pediatrics</t>
  </si>
  <si>
    <t>DOI: https://doi.org/10.1542/peds.2024-066481</t>
  </si>
  <si>
    <t>D. Hutton, L. Prosser, A. Rose, K. Mercon, I. Ortega-Sanchez, A. Leidner, M. McMorrow, K. Fleming-Dutra, M. Prill, J. Pike, J. Jones</t>
  </si>
  <si>
    <t xml:space="preserve">Cost-Effectiveness of Maternal Vaccination to Prevent Respiratory Syncytial Virus Illness </t>
  </si>
  <si>
    <t>Cost-Effectiveness of Maternal Vaccination to Prevent Respiratory Syncytial Virus Illness | Pediatrics | American Academy of Pediatrics</t>
  </si>
  <si>
    <t>DOI: 10.1542/peds.2024-066481</t>
  </si>
  <si>
    <t>C. Kim, , C. Dunphy, C. Duggar, J. Pike</t>
  </si>
  <si>
    <t>Jurisdiction-level costs of the initial phase of the COVID-19 vaccination program in the United States, December 20, 2020-May 31, 2021</t>
  </si>
  <si>
    <t>DOI: 10.1016/j.vaccine.2024.126287</t>
  </si>
  <si>
    <t>PMC11980439</t>
  </si>
  <si>
    <t>D. Hutton, L Prosser, A. Rose, K. Mercon, I. Ortega-Sanchez, A. Leidner, F. Havers, M. Prill, M. Whitaker, L. Roper, J. Pike, M. Melgar, A. Britton</t>
  </si>
  <si>
    <t>Cost-Effectiveness of RSV Vaccination among US Adults Aged 60 Years and Older against Respiratory Syncytial Virus</t>
  </si>
  <si>
    <t>DOI: 10.1016/j.vaccine.2024.126294</t>
  </si>
  <si>
    <t>PMC11848646</t>
  </si>
  <si>
    <t>Earp M, Meng L, Black CL, Carter RJ, Lu PJ, Singleton JA, Chorba T</t>
  </si>
  <si>
    <t>DOI: 10.1016/j.vaccine.2024.126372</t>
  </si>
  <si>
    <t>PMC12024164</t>
  </si>
  <si>
    <t>Fangjun Zhou, Tara C. Jatlaoui, Andrew J. Leidner,  Rosalind J. Carter, Xiaoyu Dong, Jeanne M. Santoli, Shannon Stokley,  Demetre C. Daskalakis,  Georgina Peacock</t>
  </si>
  <si>
    <t>Health and Economic Benefits of Routine Childhood Immunizations in the Era of the Vaccines for Children Program — United States, 1994–2023</t>
  </si>
  <si>
    <t>73(31)</t>
  </si>
  <si>
    <t>DOI: http://dx.doi.org/10.15585/mmwr.mm7331a2</t>
  </si>
  <si>
    <t>DOI: 10.15585/mmwr.mm7331a2</t>
  </si>
  <si>
    <t>PMC11309373</t>
  </si>
  <si>
    <t>Miwako Kobayashi; Andrew J. Leidner; Ryan Gierke; Jennifer L. Farrar; Rebecca L. Morgan; Doug Campos-Outcalt; Robert Schechter; Katherine A. Poehling; Sarah S. Long; Jamie Loehr; Adam L. Cohen</t>
  </si>
  <si>
    <t>Use of 21-Valent Pneumococcal Conjugate Vaccine Among U.S. Adults: Recommendations of the Advisory Committee on Immunization Practices — United States, 2024</t>
  </si>
  <si>
    <t>73(36)</t>
  </si>
  <si>
    <t>https://www.cdc.gov/mmwr/volumes/73/wr/mm7336a3.htm</t>
  </si>
  <si>
    <t>DOI: 10.15585/mmwr.mm7336a3</t>
  </si>
  <si>
    <t>PMC11392227</t>
  </si>
  <si>
    <t>CDC online report</t>
  </si>
  <si>
    <t>Yoonjae Kang, Fan Zhang, Tara Vogt</t>
  </si>
  <si>
    <t>Pediatrician and OB/GYN Survey on RSV Immunization</t>
  </si>
  <si>
    <t>https://www.cdc.gov/rsvvaxview/publications/rsv-immunization-survey-2024.html</t>
  </si>
  <si>
    <t>RajReni Kaul, Andrew J. Leidner, Harrell W. Chesson </t>
  </si>
  <si>
    <t>Trends in costs of routinely recommended vaccines in the United States, 2001–2023</t>
  </si>
  <si>
    <t>47(5)</t>
  </si>
  <si>
    <t>DOI: https://doi.org/10.1016/j.vaccine.2024.126667</t>
  </si>
  <si>
    <t>PMC11822687</t>
  </si>
  <si>
    <t>Miwako Kobayashi, Andrew J Leidner, Ryan Gierke, Wei Xing, Emma Accorsi, Pedro Moro, Mini Kamboj, George A Kuchel, Robert Schechter, Jamie Loehr, Adam L Cohen</t>
  </si>
  <si>
    <t>Expanded Recommendations for Use of Pneumococcal Conjugate Vaccines Among Adults Aged ≥50 Years: Recommendations of the Advisory Committee on Immunization Practices - United States, 2024</t>
  </si>
  <si>
    <t>DOI: 10.15585/mmwr.mm7401a1</t>
  </si>
  <si>
    <t>PMC11709131</t>
  </si>
  <si>
    <t>Children</t>
  </si>
  <si>
    <t xml:space="preserve">Kerra R Mercon, Angela M Rose, Christopher J Cadham, Acham Gebremariam, Jamison Pike, Eve Wittenberg, Lisa A Prosser </t>
  </si>
  <si>
    <t>Health Preferences in Transition: Differences in values from pandemic to post-pandemic for COVID-19 and RSV illness for children and adults</t>
  </si>
  <si>
    <t>DOI: 10.3390/children12020181</t>
  </si>
  <si>
    <t>PMC11854640</t>
  </si>
  <si>
    <t>Melissa Rosenthal, Charles Stoecker, Andrew J Leidner, Bo-Hyun Cho, Tamara Pilishvili, Miwako Kobayashi</t>
  </si>
  <si>
    <t>Cost-effectiveness of 15-valent or 20-valent pneumococcal conjugate vaccine for U.S. adults aged 65 years and older and adults 19 years and older with underlying conditions</t>
  </si>
  <si>
    <t>Last</t>
  </si>
  <si>
    <t>DOI: 10.1016/j.vaccine.2024.126567</t>
  </si>
  <si>
    <t>Women's Health Reports</t>
  </si>
  <si>
    <r>
      <rPr>
        <b/>
        <sz val="10"/>
        <color rgb="FF000000"/>
        <rFont val="Arial"/>
        <family val="2"/>
      </rPr>
      <t>Amimah F. Asif,  Megan C. Lindley,</t>
    </r>
    <r>
      <rPr>
        <sz val="10"/>
        <color rgb="FF000000"/>
        <rFont val="Arial"/>
        <family val="2"/>
      </rPr>
      <t xml:space="preserve">  Allison M. Fisher, Zachary Hebert, Lisa Kietzer,</t>
    </r>
    <r>
      <rPr>
        <vertAlign val="superscript"/>
        <sz val="10"/>
        <color rgb="FF000000"/>
        <rFont val="Arial"/>
        <family val="2"/>
      </rPr>
      <t xml:space="preserve"> </t>
    </r>
    <r>
      <rPr>
        <sz val="10"/>
        <color rgb="FF000000"/>
        <rFont val="Arial"/>
        <family val="2"/>
      </rPr>
      <t>Leah Shapardanis, T</t>
    </r>
    <r>
      <rPr>
        <b/>
        <sz val="10"/>
        <color rgb="FF000000"/>
        <rFont val="Arial"/>
        <family val="2"/>
      </rPr>
      <t>ara C. Jatlaoui</t>
    </r>
  </si>
  <si>
    <t>Provider Communication and Vaccine Acceptance: Analysis of Vaccine Conversations between Pregnant Patients and Healthcare Providers</t>
  </si>
  <si>
    <t>https://doi.org/10.1177/26884844261432105</t>
  </si>
  <si>
    <t>Chenmua Yang, Julie Zajac, Amimah Asif, Theresa Bailey, Lucy Kingangi, Gisela Medina Martínez, Andrea Yao</t>
  </si>
  <si>
    <t>Partnering for Vaccine Equity (P4VE) Program: Summary of Activities to Increase Equity in Adult Immunization</t>
  </si>
  <si>
    <t>https://www.cdc.gov/vaccine-equity/php/about/index.html</t>
  </si>
  <si>
    <t>International Journal of Obstetrics and Gynecology</t>
  </si>
  <si>
    <t xml:space="preserve">L Vasudevan, R Porter, S Stinnell, L Hart, E Turner, L Zullig, T Vogt, G Swamy, E Walter, R Bednarczyk, W Orenstein </t>
  </si>
  <si>
    <t>Perceived feasibility of a multicomponent intervention to promote the importance of childhood vaccinations during pregnancy: Findings from a national cross-sectional survey of prenatal care providers</t>
  </si>
  <si>
    <t>https://obgyn.onlinelibrary.wiley.com/doi/10.1002/ijgo.15970</t>
  </si>
  <si>
    <t>DOI: https://doi.org/10.1002/ijgo.15970</t>
  </si>
  <si>
    <t>PMC12121350</t>
  </si>
  <si>
    <t xml:space="preserve"> Clinical Infectious Diseases</t>
  </si>
  <si>
    <t>Olutomi Sodeke, N Sarita Shah, Sherri Pals, Serhii Riabokon, Olena Samsonova, Fadimatu Mishara, Ivan Doan, Larysa Hetman, Ezra Barzilay, Nataliya Podolchak, Juliana Da Silva</t>
  </si>
  <si>
    <t>Lower Tuberculosis Incidence Among People With Human Immunodeficiency Virus Who Completed Isoniazid Preventive Therapy in Ukraine, a High-Burden Multidrug-Resistant Tuberculosis Setting: A Retrospective Cohort Study</t>
  </si>
  <si>
    <t>https://academic.oup.com/cid/advance-article/doi/10.1093/cid/ciaf069/8082945?searchresult=1&amp;login=true#google_vignette</t>
  </si>
  <si>
    <t>DOI: https://doi.org/10.1093/cid/ciaf069</t>
  </si>
  <si>
    <t>Cancer Medicine</t>
  </si>
  <si>
    <t>Milkie Vu, Jingjing Li, Kai Hong, Jennifer W. Kamiski, Bo-Hyun Cho, Yoonjae Kang</t>
  </si>
  <si>
    <t>An Ecological Analysis of HPV Vaccination in the United States Before and During the COVID-19 Pandemic by Age, Sex, and Urbanicity Using Private Insurance Claims Data</t>
  </si>
  <si>
    <t>https://onlinelibrary.wiley.com/doi/10.1002/cam4.70761</t>
  </si>
  <si>
    <t>DOI: 10.1002/cam4.70761</t>
  </si>
  <si>
    <t> PMC11926641</t>
  </si>
  <si>
    <t xml:space="preserve">Charles M. Carpenter, Tina Trosclair, Bo-Hyun Cho, Xiaoyu Dong, Sarah Schillie, Andrew J. Leidner </t>
  </si>
  <si>
    <t>Private insurance reimbursements for meningococcal vaccine doses in the United States: Evidence from 2022 MarketScan Commercial Claims</t>
  </si>
  <si>
    <t>This article was rejected from vaccine. It is being revised and is not currently submitted anywhere.</t>
  </si>
  <si>
    <r>
      <rPr>
        <sz val="10"/>
        <color rgb="FF000000"/>
        <rFont val="Arial"/>
        <family val="2"/>
      </rPr>
      <t xml:space="preserve">Courtney Gidengil, Andrew Parker, Amber Gedlinske, Jefferson M. Jones, </t>
    </r>
    <r>
      <rPr>
        <b/>
        <sz val="10"/>
        <color rgb="FF000000"/>
        <rFont val="Arial"/>
        <family val="2"/>
      </rPr>
      <t>Jamison Pike</t>
    </r>
    <r>
      <rPr>
        <sz val="10"/>
        <color rgb="FF000000"/>
        <rFont val="Arial"/>
        <family val="2"/>
      </rPr>
      <t xml:space="preserve">, Katherine E. Fleming-Dutra, Mila M. Prill, Patricia Wodi, </t>
    </r>
    <r>
      <rPr>
        <b/>
        <sz val="10"/>
        <color rgb="FF000000"/>
        <rFont val="Arial"/>
        <family val="2"/>
      </rPr>
      <t>Megan C. Lindley</t>
    </r>
    <r>
      <rPr>
        <sz val="10"/>
        <color rgb="FF000000"/>
        <rFont val="Arial"/>
        <family val="2"/>
      </rPr>
      <t>, Aaron Scherer</t>
    </r>
  </si>
  <si>
    <t>Respiratory Syncytial Virus Immunization Attitudes and Intentions Among Pregnant and Recently Pregnant Persons</t>
  </si>
  <si>
    <t>JGIM</t>
  </si>
  <si>
    <t>James Lee, Chenmua Yang, Yiqiu Liu, Leah Shapardanis, Zachary Hebert, Lisa Kietzer, Sara Kohrt, Megan Lindley</t>
  </si>
  <si>
    <t>In-Clinic Conversations about Influenza Vaccines – an Observational Study</t>
  </si>
  <si>
    <t>Journal of Public Health Management &amp; Practice</t>
  </si>
  <si>
    <t>Jami Fraze, Amimah F. Asif, Julie Zajac</t>
  </si>
  <si>
    <t>Case Studies of Rapid Community Assessment Implementation to Improve Vaccine Confidence and Demand During the COVID-19 Vaccine Rollout, 2022</t>
  </si>
  <si>
    <t>Journal of Public Health Management &amp; Practice.</t>
  </si>
  <si>
    <t>Jamison Pike, Lyudmyla Kompaniyets, Laura P. Hurley, Rachel M. Everhart, Gabrielle F. Miller, Sharon Saydah, Kristin Breslin, Megan C. Lindley</t>
  </si>
  <si>
    <t>Comparing Post COVID-19 Direct Medical Expenditures by Vaccination Status Among Publicly Insured Children and Adults
Comparing Post COVID-19 Direct Medical Expenditures by Vaccination Status Among Publicly Insured Children and Adults</t>
  </si>
  <si>
    <t>https://doi.org/10.1377/hlthaff.2025.00050</t>
  </si>
  <si>
    <r>
      <rPr>
        <sz val="10"/>
        <color rgb="FF000000"/>
        <rFont val="Arial"/>
        <family val="2"/>
      </rPr>
      <t>Chansay Patthammavong,</t>
    </r>
    <r>
      <rPr>
        <sz val="10"/>
        <color rgb="FF1F1F1F"/>
        <rFont val="Arial"/>
        <family val="2"/>
      </rPr>
      <t> Natalie Wodniak, Kongxay Phounphenghack, Chankham Tengbriacheu, Bandith Soumphonphakdy, Viengkhan Phixay, Chansavang Vongkhamsao, Viengphone Khanthamaly, Jaymin C. Patel, Martha P. Montgomery, Margaret McCarron, William W. Davis, Julie Carlton, Eva S. Bazant, Ann C. Moen, Phonethipsavanh Nouanthong</t>
    </r>
  </si>
  <si>
    <t>Factors associated with influenza and COVID-19 vaccination among health workers in Lao PDR, 2023</t>
  </si>
  <si>
    <t>Factors associated with influenza and COVID-19 vaccination among health workers in Lao PDR, 2023 - ScienceDirect</t>
  </si>
  <si>
    <t>DOI: 10.1016/j.vaccine.2025.127006</t>
  </si>
  <si>
    <t>Infect Control Hosp Epidemiol</t>
  </si>
  <si>
    <t>Huynh CT, Haanschoten E, Soe MM, Barbre K, Meng L, Edwards JR, Kalayil EJ, Lindley MC, Reses HE, Kuhar DT, Stuckey MJ, Benin A, Bell JM.</t>
  </si>
  <si>
    <t>Association of facility vaccination policy with influenza vaccination among healthcare personnel in acute care hospitals: national Healthcare Safety Network, 2021-22 influenza season</t>
  </si>
  <si>
    <t>DOI: 10.1017/ice.2025.24</t>
  </si>
  <si>
    <t>PMC12353221</t>
  </si>
  <si>
    <t>J of Rural Health</t>
  </si>
  <si>
    <t>Lavanya Vasudevan, Yunfei Wang, Jan Ostermann, Valerie Yelverton, Jingyi Yang, Laura Fish, Sayward Harrison, Charnetta Williams, Emmanuel Walter</t>
  </si>
  <si>
    <t>Rural-urban disparities in human papillomavirus vaccination: Findings from a cross-sectional survey of 13 southern US states, December 2019-January 2020</t>
  </si>
  <si>
    <t>https://doi.org/10.1111/jrh.12913</t>
  </si>
  <si>
    <t>PMC12168015</t>
  </si>
  <si>
    <t>American Journal of Evaluation (AJE)</t>
  </si>
  <si>
    <t>Jennifer  Berktold, Gisela  Medina Martinez, Abigail  Sekar, Isabella  Mandema, Jennifer  Kim, Julie  Zajac,  Amelia  Burke-Garcia, Jessica  Salas-Brooks</t>
  </si>
  <si>
    <t>Methodological Approach to Evaluating CDCs Adult Immunization Efforts Designing and Implementing a Rubric for Analyzing Complex Data</t>
  </si>
  <si>
    <t>No updates yet of acceptance.</t>
  </si>
  <si>
    <t>Jennifer  Berktold, Gisela  Medina Martinez, Tara  Jatlaoui, Julie  Zajac, Samuel  Graitcer, Charleigh  Granade, Margaret  Gutierrez, Jane  Nilson</t>
  </si>
  <si>
    <t xml:space="preserve">Strategies for Improving Adult Immunization Uptake among Disproportionately Affected Adult Populations: Results from a National, Mixed Method Evaluation </t>
  </si>
  <si>
    <t>Rejected. NORC is looking for a new jornal to submit it.</t>
  </si>
  <si>
    <t>Lavanya Vasudevan, Rachael Porter, Sandra Stinnet, Lauren Hart, Elizabeth Turner, Leah Zullig, Geeta Swamy, Emmanuel Walter, Robert Bednarczyk, Walter Orenstein, Tara Vogt, Beverley Gray, ADEPT External Advisory Board</t>
  </si>
  <si>
    <t>Perceived feasibility of a multicomponent prenatal intervention on childhood vaccinations: Findings from a national cross-sectional survey of prenatal care providers, April–June 2022</t>
  </si>
  <si>
    <t>Perceived feasibility of a multicomponent prenatal intervention on childhood vaccinations</t>
  </si>
  <si>
    <t xml:space="preserve">DOI: https://doi.org/10.1002/ijgo.15970 </t>
  </si>
  <si>
    <t>JAMA Network Open</t>
  </si>
  <si>
    <t>Lavanya Vasudevan, Rachael Porter, Walter Orenstein, Tara Vogt, Robert Bednarczyk</t>
  </si>
  <si>
    <t>Vaccination Intentions during Pregnancy and among Parents of Young Children</t>
  </si>
  <si>
    <t>https://jamanetwork.com/journals/jamanetworkopen/fullarticle/2836417</t>
  </si>
  <si>
    <t>DOI: 10.1001/jamanetworkopen.2025.20667</t>
  </si>
  <si>
    <t>Lisa A. Prosser, Megan Wallace, Angela M. Rose, Kerra Mercon, Cara B. Janusz, Acham Gebremariam, David W. Hutton, Andrew J. Leidner, Fangjun Zhou, Ismael R. Ortega-Sanchez, Danielle Moulia, Ruth Link-Gelles, Sharon Saydah, Melisa Shah, Jamison Pike</t>
  </si>
  <si>
    <t>Cost-effectiveness of COVID-19 Vaccination in 2023-2024 in US Adults</t>
  </si>
  <si>
    <t xml:space="preserve">DOI:10.1001/jamanetworkopen.2025.23688
</t>
  </si>
  <si>
    <t>Human Vaccines &amp; Immunotherapeutics</t>
  </si>
  <si>
    <t>Sarah K. Brewer, Ruth Stefanos, Neil C. Murthy, Amimah F. Asif, Shannon Stokley, Lauri E. Markowitz</t>
  </si>
  <si>
    <t>Human papillomavirus vaccination at age 9 or 10 years to increase coverage – a narrative review of the literature, United States 2014–2024. </t>
  </si>
  <si>
    <t>DOI: https://doi.org/10.1080/21645515.2025.2480870</t>
  </si>
  <si>
    <t>PMC12005419</t>
  </si>
  <si>
    <r>
      <rPr>
        <sz val="10"/>
        <color rgb="FF000000"/>
        <rFont val="Arial"/>
        <family val="2"/>
      </rPr>
      <t xml:space="preserve">Matthew Z. Dudley, </t>
    </r>
    <r>
      <rPr>
        <b/>
        <sz val="10"/>
        <color rgb="FF000000"/>
        <rFont val="Arial"/>
        <family val="2"/>
      </rPr>
      <t>Amimah F. Asif,</t>
    </r>
    <r>
      <rPr>
        <sz val="10"/>
        <color rgb="FF000000"/>
        <rFont val="Arial"/>
        <family val="2"/>
      </rPr>
      <t xml:space="preserve"> Ebony S. Thomas, </t>
    </r>
    <r>
      <rPr>
        <b/>
        <sz val="10"/>
        <color rgb="FF000000"/>
        <rFont val="Arial"/>
        <family val="2"/>
      </rPr>
      <t>Megan C. Lindley,</t>
    </r>
    <r>
      <rPr>
        <sz val="10"/>
        <color rgb="FF000000"/>
        <rFont val="Arial"/>
        <family val="2"/>
      </rPr>
      <t xml:space="preserve"> Kerry Olmsted, Wallace Wennerberg</t>
    </r>
    <r>
      <rPr>
        <vertAlign val="superscript"/>
        <sz val="10"/>
        <color rgb="FF000000"/>
        <rFont val="Arial"/>
        <family val="2"/>
      </rPr>
      <t xml:space="preserve">, </t>
    </r>
    <r>
      <rPr>
        <sz val="10"/>
        <color rgb="FF000000"/>
        <rFont val="Arial"/>
        <family val="2"/>
      </rPr>
      <t>Elisa Cink</t>
    </r>
    <r>
      <rPr>
        <vertAlign val="superscript"/>
        <sz val="10"/>
        <color rgb="FF000000"/>
        <rFont val="Arial"/>
        <family val="2"/>
      </rPr>
      <t xml:space="preserve">, </t>
    </r>
    <r>
      <rPr>
        <sz val="10"/>
        <color rgb="FF000000"/>
        <rFont val="Arial"/>
        <family val="2"/>
      </rPr>
      <t>Michelle Goryn,Walter A. Orenstein, Daniel A. Salmon</t>
    </r>
  </si>
  <si>
    <t>Quality Improvement Programs for Adult Immunization: A Scoping Literature Review</t>
  </si>
  <si>
    <t>Xiaoyu Dong, Sarah F Schillie, Lucy Alexandra McNamara, Andrew J Leidner</t>
  </si>
  <si>
    <t>Cost-effectiveness of Pentavalent Meningococcal (MenABCWY) Vaccination among Adolescents in the United States</t>
  </si>
  <si>
    <t>DOI: https://doi.org/10.1016/j.vaccine.2025.127332</t>
  </si>
  <si>
    <t xml:space="preserve">Published Aug 2025 </t>
  </si>
  <si>
    <t>Health Economics</t>
  </si>
  <si>
    <t>Yancheng Xiao, Matthew Harris, Alissa O’Halloran, Jamison Pike</t>
  </si>
  <si>
    <t>Influenza Vaccination and Occupational Social Intensity: Evidence from U.S. Workers</t>
  </si>
  <si>
    <t>Influenza Vaccination and Occupational Social Intensity: Evidence From U.S. Workers - Xiao - Health Economics - Wiley Online Library</t>
  </si>
  <si>
    <t>DOI: https://doi.org/10.1002/hec.4974</t>
  </si>
  <si>
    <t>Poster Presentation</t>
  </si>
  <si>
    <t>Yang C, Bernatzky C, Boone K, Gazy M, Mitchell T, Sorenson B, Verma A, Voegeli C</t>
  </si>
  <si>
    <t>Establishing an insights unit: Methodology for COVID-19 state of vaccine confidence insights reports</t>
  </si>
  <si>
    <t>Where do children get vaccinated in the U.S.? Parental experiences, attitudes, and beliefs about place of vaccination with a focus on pharmacies and schools</t>
  </si>
  <si>
    <t>Where do children get vaccinated in the U.S.? Parental experiences, attitudes, and beliefs about place of vaccination with a focus on pharmacies and schools - ScienceDirect</t>
  </si>
  <si>
    <t>DOI: https://doi.org/10.1016/j.vaccine.2025.126801</t>
  </si>
  <si>
    <t>PMC12321230</t>
  </si>
  <si>
    <t>Parental attitudes, beliefs, and experiences related to pediatric COVID-19 vaccination</t>
  </si>
  <si>
    <t>Parental attitudes, beliefs, and experiences related to pediatric COVID-19 vaccination - ScienceDirect</t>
  </si>
  <si>
    <t>DOI: https://doi.org/10.1016/j.vaccine.2025.127043</t>
  </si>
  <si>
    <t>The Journal of Pediatrics: Clinical Practice</t>
  </si>
  <si>
    <t>Physician practices, attitudes, and challenges related to pediatric COVID-19 vaccination in the United States</t>
  </si>
  <si>
    <t>Physician practices, attitudes, and challenges related to pediatric COVID-19 vaccination in the United States - ScienceDirect</t>
  </si>
  <si>
    <t xml:space="preserve">DOI: https://doi.org/10.1016/j.jpedcp.2025.200160 </t>
  </si>
  <si>
    <t>PMC12303065</t>
  </si>
  <si>
    <r>
      <t xml:space="preserve">Agam K. Rao,  Faisal S. Minhaj, </t>
    </r>
    <r>
      <rPr>
        <b/>
        <sz val="10"/>
        <color rgb="FF000000"/>
        <rFont val="Arial"/>
        <family val="2"/>
      </rPr>
      <t>Rosalind J. Carter</t>
    </r>
    <r>
      <rPr>
        <sz val="10"/>
        <color rgb="FF000000"/>
        <rFont val="Arial"/>
        <family val="2"/>
      </rPr>
      <t>, Jonathan Duffy, Panayampalli S. Satheshkumar, Kevin P. Delaney, Laura A. S. Quilter, Rachel E. Kachur,, Catherine McLean, Danielle L. Moulia, David T. Kuhar, Marie A. de Perio,  Ian H. Spicknall, Beth P. Bell,  Pablo J. Sánchez, Christina L. Hutson, Amanda C. Cohn</t>
    </r>
  </si>
  <si>
    <t>Use of JYNNEOS (Smallpox and Mpox Vaccine, Live, Nonreplicating) for Persons Aged ≥18 Years at Risk for Mpox During an Mpox Outbreak: Recommendations of the Advisory Committee on Immunization Practices — United States, 2023</t>
  </si>
  <si>
    <t>Use of JYNNEOS (Smallpox and Mpox Vaccine, Live, Nonreplicating) for Persons Aged ≥18 Years at Risk for Mpox During an Mpox Outbreak: Recommendations of the Advisory Committee on Immunization Practices — United States, 2023 | MMWR</t>
  </si>
  <si>
    <t>DOI: http://dx.doi.org/10.15585/mmwr.mm7422a3</t>
  </si>
  <si>
    <t>PMC12176103</t>
  </si>
  <si>
    <t>Cost Effectiveness and Resource Allocation</t>
  </si>
  <si>
    <r>
      <rPr>
        <sz val="10"/>
        <color rgb="FF000000"/>
        <rFont val="Arial"/>
        <family val="2"/>
      </rPr>
      <t xml:space="preserve">Angela M. Rose, Kerra R. Mercon, Acham Gebremariam, </t>
    </r>
    <r>
      <rPr>
        <b/>
        <sz val="10"/>
        <color rgb="FF000000"/>
        <rFont val="Arial"/>
        <family val="2"/>
      </rPr>
      <t>Jamison Pike</t>
    </r>
    <r>
      <rPr>
        <sz val="10"/>
        <color rgb="FF000000"/>
        <rFont val="Arial"/>
        <family val="2"/>
      </rPr>
      <t>, Lisa A. Prosser</t>
    </r>
  </si>
  <si>
    <t>Out-of-pocket costs, time burden, and caregiver quality of life associated with pediatric medically attended respiratory syncytial virus illnesses</t>
  </si>
  <si>
    <t>DOI: 10.1186/s12962-025-00646-4</t>
  </si>
  <si>
    <t>PMC12344828</t>
  </si>
  <si>
    <r>
      <rPr>
        <sz val="10"/>
        <color rgb="FF000000"/>
        <rFont val="Arial"/>
        <family val="2"/>
      </rPr>
      <t xml:space="preserve">Hannah G. Rosenblum, Charles M. Carpenter, Tina Trosclair, </t>
    </r>
    <r>
      <rPr>
        <b/>
        <sz val="10"/>
        <color rgb="FF000000"/>
        <rFont val="Arial"/>
        <family val="2"/>
      </rPr>
      <t>RajReni Kaul, Bo-Hyun Cho</t>
    </r>
    <r>
      <rPr>
        <sz val="10"/>
        <color rgb="FF000000"/>
        <rFont val="Arial"/>
        <family val="2"/>
      </rPr>
      <t xml:space="preserve">, Miwako Kobayashi, </t>
    </r>
    <r>
      <rPr>
        <b/>
        <sz val="10"/>
        <color rgb="FF000000"/>
        <rFont val="Arial"/>
        <family val="2"/>
      </rPr>
      <t>Andrew J. Leidner</t>
    </r>
    <r>
      <rPr>
        <sz val="10"/>
        <color rgb="FF000000"/>
        <rFont val="Arial"/>
        <family val="2"/>
      </rPr>
      <t> </t>
    </r>
  </si>
  <si>
    <t>Time intervals from vaccine administration to reimbursement for an updated Advisory Committee on Immunization Practices (ACIP) recommendation: Evidence from pneumococcal conjugate vaccinations among privately insured adults, 2021–2022  </t>
  </si>
  <si>
    <t>https://doi.org/10.1016/j.vaccine.2025.127665</t>
  </si>
  <si>
    <t>PMC12614235/</t>
  </si>
  <si>
    <t>Published online 9/26</t>
  </si>
  <si>
    <r>
      <rPr>
        <sz val="10"/>
        <color rgb="FF000000"/>
        <rFont val="Arial"/>
        <family val="2"/>
      </rPr>
      <t xml:space="preserve">Sofia Bletnitsky, </t>
    </r>
    <r>
      <rPr>
        <b/>
        <sz val="10"/>
        <color rgb="FF000000"/>
        <rFont val="Arial"/>
        <family val="2"/>
      </rPr>
      <t>Andrew J Leidner</t>
    </r>
    <r>
      <rPr>
        <sz val="10"/>
        <color rgb="FF000000"/>
        <rFont val="Arial"/>
        <family val="2"/>
      </rPr>
      <t>, Miwako Kobayashi,</t>
    </r>
    <r>
      <rPr>
        <b/>
        <sz val="10"/>
        <color rgb="FF000000"/>
        <rFont val="Arial"/>
        <family val="2"/>
      </rPr>
      <t xml:space="preserve"> Bo Hyun-Cho</t>
    </r>
    <r>
      <rPr>
        <sz val="10"/>
        <color rgb="FF000000"/>
        <rFont val="Arial"/>
        <family val="2"/>
      </rPr>
      <t>, Charles Stoecker</t>
    </r>
  </si>
  <si>
    <t>Cost-effectiveness analysis of expanding the adult pneumococcal vaccination recommendations to include adults aged 50 years and older in the United States</t>
  </si>
  <si>
    <t>Cost-effectiveness analysis of expanding the adult pneumococcal vaccination recommendations to include adults aged 50 years and older in the United States - ScienceDirect</t>
  </si>
  <si>
    <t>Published 5/22/2026</t>
  </si>
  <si>
    <r>
      <rPr>
        <sz val="10"/>
        <color rgb="FF000000"/>
        <rFont val="Arial"/>
        <family val="2"/>
      </rPr>
      <t xml:space="preserve">Avnika B Amin, Jennifer P Collins, </t>
    </r>
    <r>
      <rPr>
        <b/>
        <sz val="10"/>
        <color rgb="FF000000"/>
        <rFont val="Arial"/>
        <family val="2"/>
      </rPr>
      <t>Xiaoyu Dong, Andrew Leidner</t>
    </r>
    <r>
      <rPr>
        <sz val="10"/>
        <color rgb="FF000000"/>
        <rFont val="Arial"/>
        <family val="2"/>
      </rPr>
      <t>, Jamie Loehr, Charlotte A Moser, Lucy A McNamara</t>
    </r>
  </si>
  <si>
    <t>Use of the GSK Pentavalent Meningococcal Vaccine Among Persons Aged &gt;= 10 Years: Recomendations of the Advisory Committee on Immunization Practices -- United States 2025</t>
  </si>
  <si>
    <t>Use of the GSK MenACWY-CRM/MenB-4C Pentavalent Meningococcal Vaccine Among Persons Aged ≥10 Years: Recommendations of the Advisory Committee on Immunization Practices — United States, 2025 | MMWR</t>
  </si>
  <si>
    <t>Published on 1/8</t>
  </si>
  <si>
    <r>
      <rPr>
        <sz val="10"/>
        <color rgb="FF000000"/>
        <rFont val="Arial"/>
        <family val="2"/>
      </rPr>
      <t xml:space="preserve">Diepreye Ayabina, CHarles Stoecker, </t>
    </r>
    <r>
      <rPr>
        <b/>
        <sz val="10"/>
        <color rgb="FF000000"/>
        <rFont val="Arial"/>
        <family val="2"/>
      </rPr>
      <t>Bo-Hyun Cho</t>
    </r>
    <r>
      <rPr>
        <sz val="10"/>
        <color rgb="FF000000"/>
        <rFont val="Arial"/>
        <family val="2"/>
      </rPr>
      <t xml:space="preserve">, Namrata Prasad, Laura M King, </t>
    </r>
    <r>
      <rPr>
        <b/>
        <sz val="10"/>
        <color rgb="FF000000"/>
        <rFont val="Arial"/>
        <family val="2"/>
      </rPr>
      <t>Andrew J Leidner</t>
    </r>
    <r>
      <rPr>
        <sz val="10"/>
        <color rgb="FF000000"/>
        <rFont val="Arial"/>
        <family val="2"/>
      </rPr>
      <t>, Miwako Kobayashi</t>
    </r>
  </si>
  <si>
    <t>Public Health Impact and Cost-effectiveness of 20-valent Pneumococcal Conjugate Vaccine Use among Children in the United States</t>
  </si>
  <si>
    <t>DOI: https://doi.org/10.1016/j.vaccine.2026.128212</t>
  </si>
  <si>
    <t>1/6/2026: acceptance email received</t>
  </si>
  <si>
    <t>The Pediatric Infectious Disease Journal</t>
  </si>
  <si>
    <r>
      <rPr>
        <sz val="10"/>
        <color rgb="FF000000"/>
        <rFont val="Arial"/>
        <family val="2"/>
      </rPr>
      <t xml:space="preserve">Margaret Taylor Danner, Caroline A Schrodt, Alexandra Tuttle, </t>
    </r>
    <r>
      <rPr>
        <b/>
        <sz val="10"/>
        <color rgb="FF000000"/>
        <rFont val="Arial"/>
        <family val="2"/>
      </rPr>
      <t>Victoria Shelus</t>
    </r>
    <r>
      <rPr>
        <sz val="10"/>
        <color rgb="FF000000"/>
        <rFont val="Arial"/>
        <family val="2"/>
      </rPr>
      <t>, Brendan Sullivan, Ankhi Dutta, Claire Bocchini, Denver Niles</t>
    </r>
  </si>
  <si>
    <t>Three Cases of Adolescent Orf Virus Skin and Soft Tissue Infection in Southeast Texas</t>
  </si>
  <si>
    <t>PMC12257289</t>
  </si>
  <si>
    <t>Amimah F. Asif, Megan C. Lindley, Laura A. Randall, Elle Chumlongluk, Veronica G. Gilliard, Allison M. Fisher, Samantha M. Olson, Tara C. Jatlaoui</t>
  </si>
  <si>
    <t>Improving Maternal Vaccination: Analysis of Formative Interviews with Prenatal Healthcare Providers </t>
  </si>
  <si>
    <r>
      <rPr>
        <sz val="10"/>
        <color rgb="FF000000"/>
        <rFont val="Arial"/>
        <family val="2"/>
      </rPr>
      <t xml:space="preserve">Nicole M. Roth, Hailee M. Hutcherson, K. Meryl Davis, Khue Nguyen, Hanvit Oh, Suzanne M. Newton, Varsha Neelam, Emily O. Olsen, Anthony Merriweather, Teri’ Willabus, Umme-Aiman Halai, Grace Lee,  Joyce Chou, Erin Ricketts, Kathryn Aveni, Amanda Shinall, Ayomide Sokale, Marco Tori, Rose Devasia, Andrea M. McCollum, </t>
    </r>
    <r>
      <rPr>
        <b/>
        <sz val="10"/>
        <color rgb="FF000000"/>
        <rFont val="Arial"/>
        <family val="2"/>
      </rPr>
      <t>Victoria Shelus</t>
    </r>
    <r>
      <rPr>
        <sz val="10"/>
        <color rgb="FF000000"/>
        <rFont val="Arial"/>
        <family val="2"/>
      </rPr>
      <t>, Patricia A. Yu, Yon Yu, Van T. Tong, Alison Fountain, and Dana Meaney-Delman</t>
    </r>
  </si>
  <si>
    <t>Mpox Among Pregnant Women and Their Infants in the U.S. Outbreak, 2022–2023</t>
  </si>
  <si>
    <t>Ramachandran V, Tangney S, Gedlinske A, Askelson NM, Parker AM, Gidengil CA, Albert AP, Lindley MC, Kobayashi M, Scherer AM.</t>
  </si>
  <si>
    <t>Pneumococcal vaccination knowledge, attitudes, and practices among surveyed U.S. adults aged 19-64 years at increased risk for pneumococcal disease</t>
  </si>
  <si>
    <t>DOI: 10.1016/j.vaccine.2025.127739</t>
  </si>
  <si>
    <r>
      <rPr>
        <sz val="10"/>
        <color rgb="FF000000"/>
        <rFont val="Arial"/>
        <family val="2"/>
      </rPr>
      <t xml:space="preserve">Charles Stoecker, Yin Wang, </t>
    </r>
    <r>
      <rPr>
        <b/>
        <sz val="10"/>
        <color rgb="FF000000"/>
        <rFont val="Arial"/>
        <family val="2"/>
      </rPr>
      <t>Andrew J Leidner</t>
    </r>
    <r>
      <rPr>
        <sz val="10"/>
        <color rgb="FF000000"/>
        <rFont val="Arial"/>
        <family val="2"/>
      </rPr>
      <t xml:space="preserve">, </t>
    </r>
    <r>
      <rPr>
        <b/>
        <sz val="10"/>
        <color rgb="FF000000"/>
        <rFont val="Arial"/>
        <family val="2"/>
      </rPr>
      <t>Bo-Hyun Cho</t>
    </r>
    <r>
      <rPr>
        <sz val="10"/>
        <color rgb="FF000000"/>
        <rFont val="Arial"/>
        <family val="2"/>
      </rPr>
      <t>, Cheryl Ward, Miwako Kobayashi</t>
    </r>
  </si>
  <si>
    <t>Cost-effectiveness of age-based and risk-based use of the new 21-valent pnemococcal conjugate vaccine among U.S. adults</t>
  </si>
  <si>
    <t>10.1016/j.vaccine.2025.127940</t>
  </si>
  <si>
    <t>Cost-effectiveness of age-based and risk-based use of the new 21-valent pneumococcal conjugate vaccine among U.S. adults - ScienceDirect</t>
  </si>
  <si>
    <r>
      <rPr>
        <b/>
        <sz val="10"/>
        <color rgb="FF000000"/>
        <rFont val="Arial"/>
        <family val="2"/>
      </rPr>
      <t>Alyssa Jeffers</t>
    </r>
    <r>
      <rPr>
        <sz val="12"/>
        <color rgb="FF1F1F1F"/>
        <rFont val="Arial"/>
        <family val="2"/>
      </rPr>
      <t>,</t>
    </r>
    <r>
      <rPr>
        <sz val="10"/>
        <color rgb="FF1F1F1F"/>
        <rFont val="Arial"/>
        <family val="2"/>
      </rPr>
      <t> Nicole M. Kuiper, Aparna Ramakrishnan, Hepsi Swarna, Kenneth Goodman, Pooja Gandhi, Monica I. Mendez Morello</t>
    </r>
  </si>
  <si>
    <t>Building trust in community-academic partnerships: Strategies for enhancing vaccine confidence and demand – Lessons from Prevention Research Centers</t>
  </si>
  <si>
    <t>Building trust in community-academic partnerships: Strategies for enhancing vaccine confidence and demand – Lessons from Prevention Research Centers - ScienceDirect</t>
  </si>
  <si>
    <r>
      <rPr>
        <sz val="10"/>
        <color rgb="FF000000"/>
        <rFont val="Arial"/>
        <family val="2"/>
      </rPr>
      <t>Yulia E. Chuvileva</t>
    </r>
    <r>
      <rPr>
        <sz val="12"/>
        <color rgb="FF1F1F1F"/>
        <rFont val="ElsevierSans"/>
      </rPr>
      <t>, </t>
    </r>
    <r>
      <rPr>
        <sz val="10"/>
        <color rgb="FF1F1F1F"/>
        <rFont val="Arial"/>
        <family val="2"/>
      </rPr>
      <t>Nicole M. Kuiper, Aparna Ramakrishnan, Kenneth Goodman, </t>
    </r>
    <r>
      <rPr>
        <b/>
        <sz val="10"/>
        <color rgb="FF1F1F1F"/>
        <rFont val="Arial"/>
        <family val="2"/>
      </rPr>
      <t>Alyssa Jeffers,</t>
    </r>
    <r>
      <rPr>
        <sz val="10"/>
        <color rgb="FF1F1F1F"/>
        <rFont val="Arial"/>
        <family val="2"/>
      </rPr>
      <t> Hepsi Swarna, Pooja Gandhi, Melinda Reed-Morrice, Brigette Ulin</t>
    </r>
  </si>
  <si>
    <t>Weaving a public health network: Process and results from an evaluation of CDC’s Prevention Research Centers Vaccine Confidence Network</t>
  </si>
  <si>
    <t>Weaving a public health network: Process and results from an evaluation of CDC’s Prevention Research Centers Vaccine Confidence Network - ScienceDirect</t>
  </si>
  <si>
    <t xml:space="preserve">Kimberly Nguyen, Rosalind Carter, ARISE, Margaret McCarron, ARISE, Kayla Calhoun, SEB, Susanne Schorpp, SEB 
</t>
  </si>
  <si>
    <t>Parental attitudes and demographic factors associated with delay or refusal of routine childhood vaccinations, June 2025”</t>
  </si>
  <si>
    <r>
      <rPr>
        <b/>
        <sz val="10"/>
        <color rgb="FF000000"/>
        <rFont val="Arial"/>
      </rPr>
      <t>McCarron, Margare</t>
    </r>
    <r>
      <rPr>
        <sz val="10"/>
        <color rgb="FF000000"/>
        <rFont val="Arial"/>
      </rPr>
      <t>t; Griffin, Chelsey; Yau, Tat S; Carlton, Julie; Patel, Jaymin C; Hugo, Claire; Mantel, Carsten; Saber, Lindsay; Goldin, Shoshanna; Moen, Ann; Lafond, Kathryn; Spratling, Robin; Walldorf, Jenny A.; Hyde, Terri; Bresee Joseph</t>
    </r>
  </si>
  <si>
    <t>Health Worker Influenza Vaccination Programs: A Key to Pandemic Preparedness and Effective COVID-19 Vaccine Deployment in Low- and Middle-Income Countries</t>
  </si>
  <si>
    <t>10.3390/vaccines14020130</t>
  </si>
  <si>
    <t>Health Worker Influenza Vaccination Programs: A Key to Pandemic Preparedness and Effective COVID-19 Vaccine Deployment in Low- and Middle-Income Countries | MDPI</t>
  </si>
  <si>
    <t>BMJ Global Health</t>
  </si>
  <si>
    <r>
      <rPr>
        <sz val="10"/>
        <color rgb="FF000000"/>
        <rFont val="Arial"/>
        <family val="2"/>
      </rPr>
      <t>Carlton, Julie; Bazant, Eva; Griffin, Chelsey; Cooley, Katherine; Gao, Hongjiang;</t>
    </r>
    <r>
      <rPr>
        <b/>
        <sz val="10"/>
        <color rgb="FF000000"/>
        <rFont val="Arial"/>
        <family val="2"/>
      </rPr>
      <t xml:space="preserve"> McCarron, Margaret</t>
    </r>
    <r>
      <rPr>
        <sz val="10"/>
        <color rgb="FF000000"/>
        <rFont val="Arial"/>
        <family val="2"/>
      </rPr>
      <t>; Basher, Khairul, et al.</t>
    </r>
  </si>
  <si>
    <t>COVID-19 vaccine acceptance and recommendation among health workers in nine countries: a pooled analysis of survey data from 2023–2024</t>
  </si>
  <si>
    <t>Granade, Charleigh; Lindley, Megan; Nelson, Jennifer; Asif, Amimah; Zajac, Julie; Reed, Xania</t>
  </si>
  <si>
    <t xml:space="preserve">Bridging the Gap: A Review of the Factors Contributing to Differences in Vaccination Coverage Among Rural and Urban Adults </t>
  </si>
  <si>
    <t>Bridging the gap: a review of the factors contributing to differences in vaccination coverage among rural and urban adults - ScienceDirect</t>
  </si>
  <si>
    <t>Applied Health Economics and Health Policy</t>
  </si>
  <si>
    <t>Xiaoyu Dong, Jamison Pike, Bo-Hyun Cho, Andrew J. Leidner, Megan Wallace, Fangjun Zhou</t>
  </si>
  <si>
    <t>COVID-19 Related Healthcare Utilization and Costs in A Large Insured US Population, 2020-2024</t>
  </si>
  <si>
    <t>Submitted to AHEHP on 12/16/2025</t>
  </si>
  <si>
    <t>Courtney Olson, Grace E. Marx, Courtney A. Gidengil, Andrew Parker, Amber Gedlinske, Alison F. Hinckley, Megan C.
Lindley, Natoshia M. Askelson, Christine A. Petersen, Aaron M.
Scherer</t>
  </si>
  <si>
    <t>U.S. physician beliefs and attitudes towards an anticipated Lyme disease vaccine</t>
  </si>
  <si>
    <r>
      <rPr>
        <sz val="11"/>
        <color rgb="FF000000"/>
        <rFont val="Arial"/>
        <family val="2"/>
      </rPr>
      <t>Rachael M. Porter, Ilse Campos, Mohammed Shoaib</t>
    </r>
    <r>
      <rPr>
        <b/>
        <sz val="11"/>
        <color rgb="FF000000"/>
        <rFont val="Arial"/>
        <family val="2"/>
      </rPr>
      <t>, Tara Vogt</t>
    </r>
    <r>
      <rPr>
        <sz val="11"/>
        <color rgb="FF000000"/>
        <rFont val="Arial"/>
        <family val="2"/>
      </rPr>
      <t>, Walter Orenstein, Robert Bednarczyk, Lavanya Vasudevan</t>
    </r>
  </si>
  <si>
    <t>Respiratory syncytial virus immunization intention during pregnancy and infancy in the United States</t>
  </si>
  <si>
    <t>Proofs submitted 6/22/2026. Publication date tentatively set by journal as July 24, 2026</t>
  </si>
  <si>
    <r>
      <t xml:space="preserve">Su N. Aung, Ruth Stefanos, Samantha Swisher, Crista Pierce, Judith Creegan, Shawna Bailey, Lisa Patch,  Joshua Landry, Jeanette Medran, Dana Tapia , Reynaldo Gomez, Candace Keams,  Victoria Galarza, Colleen Lambert, </t>
    </r>
    <r>
      <rPr>
        <b/>
        <sz val="11"/>
        <color theme="1"/>
        <rFont val="Calibri"/>
        <family val="2"/>
        <scheme val="minor"/>
      </rPr>
      <t>Rosalind Carter, Margaret McCarron</t>
    </r>
    <r>
      <rPr>
        <sz val="11"/>
        <color theme="1"/>
        <rFont val="Calibri"/>
        <family val="2"/>
        <scheme val="minor"/>
      </rPr>
      <t>, Emma Stanislawski, Jessica Leung</t>
    </r>
  </si>
  <si>
    <t xml:space="preserve">“Notes from the Field: Strengthening the measles outbreak response through community education — New Mexico, 2025” </t>
  </si>
  <si>
    <t xml:space="preserve">Journal of Health Economics and Outcomes Research </t>
  </si>
  <si>
    <r>
      <t xml:space="preserve">Sheroi Johnson, Huong Q. McLean, Melissa S. Stockwell, Christina A. Porucznik, Ruth A. Karron, Fatimah S. Dawood, Lisa A. Prosser, Alisha P. Sarakki, Joseph B. Stanford, Marissa Hetrich, Elizabeth Schappel, Maria Deloria Knoll, Vic Veguilla, Alexandra Mellis, Jazmin Duque, Zuha Jeddy, </t>
    </r>
    <r>
      <rPr>
        <b/>
        <sz val="10"/>
        <color theme="1"/>
        <rFont val="Arial"/>
        <family val="2"/>
      </rPr>
      <t>Jamison Pike,</t>
    </r>
    <r>
      <rPr>
        <sz val="10"/>
        <color theme="1"/>
        <rFont val="Arial"/>
        <family val="2"/>
      </rPr>
      <t xml:space="preserve"> Melissa A. Rolfes</t>
    </r>
  </si>
  <si>
    <t>Estimating Impact of SARS-CoV-2 Infection on Health-Related Quality of Life among Persons Aged 8 years and Older, August 2020-July 2022</t>
  </si>
  <si>
    <t>Clinical Infectious Diseases</t>
  </si>
  <si>
    <r>
      <t xml:space="preserve">Han Xiao; Farah Ahmed; Jessica Leung; Sheri Tubach; Justin Blanding; Allison Zaldivar; Erica Rae Thomasson; Bryna Stacey; </t>
    </r>
    <r>
      <rPr>
        <b/>
        <sz val="10"/>
        <color theme="1"/>
        <rFont val="Arial"/>
        <family val="2"/>
      </rPr>
      <t>Jamison Pike</t>
    </r>
  </si>
  <si>
    <t>Economic Impact of the 2025 Kansas Measles Outbreak</t>
  </si>
  <si>
    <t>JAMA Netwrok Open</t>
  </si>
  <si>
    <r>
      <t xml:space="preserve">Emily A.G. Faherty, PhD1,2, Jessica Leung, MPH3, Stephanie Gretsch, MPH2, Spencer Gorelick, MPH2, Frances Lendacki, PhD2,  Peter DeJonge, PhD2,4, Shelby Daniel-Wayman, MPH2, Kimberly Gressick, MD1,2,  Amy Nham, PharmD, MPH1,2, Onofre Donceras, RN5, Sharon F. Welbel, MD5, Marielle Fricchione, MD6, Susan Bleasdale Casey, MD7, Leanne O’Connell, RN, MPH7, Allison H. Bartlett, MD, MS8, David Zhang, MD8,  Maureen K. Bolon, MD9, Tiffany Kuo, MPH9, Teresa Zembower, MD9,10, Larry K. Kociolek, MD, MSc11, Ayelet Rosenthal, MD, MSc11, Arti Barnes, MD12, Joshua Geltz, PhD12, Hillary Spencer, MD12, Thomas D. Filardo, MD3, David E. Sugerman, MD3, Alyse Kittner, MPH2, Maribel Chavez-Torres, MPH2, Alexander Sloboda, MD2, Michelle Funk, DVM2, Brian Borah, MD2, Do Young Kim, MD2, Stephanie R. Black, MD2, </t>
    </r>
    <r>
      <rPr>
        <b/>
        <sz val="10"/>
        <color theme="1"/>
        <rFont val="Arial"/>
        <family val="2"/>
      </rPr>
      <t>Jamison Pike, PhD3,*</t>
    </r>
    <r>
      <rPr>
        <sz val="10"/>
        <color theme="1"/>
        <rFont val="Arial"/>
        <family val="2"/>
      </rPr>
      <t xml:space="preserve">
</t>
    </r>
  </si>
  <si>
    <t xml:space="preserve">Societal Cost of a Measles Outbreak in a Shelter — Chicago, IL February–April 2024
</t>
  </si>
  <si>
    <t>Annals of Internal Medicine</t>
  </si>
  <si>
    <r>
      <rPr>
        <b/>
        <sz val="10"/>
        <color theme="1"/>
        <rFont val="Arial"/>
        <family val="2"/>
      </rPr>
      <t xml:space="preserve">Jamison Pike, </t>
    </r>
    <r>
      <rPr>
        <sz val="10"/>
        <color theme="1"/>
        <rFont val="Arial"/>
        <family val="2"/>
      </rPr>
      <t>Nora Holzinger, Han (Tiffany) Xiao, Emma Stanislawski, Jessica Leung, Andrea Romero, Chad Smelser</t>
    </r>
  </si>
  <si>
    <t>Economic Impact of the 2025 New Mexico Measles Outbreak - Highlighting the Cost of Efforts to Prevent Future Outbreaks</t>
  </si>
  <si>
    <r>
      <t xml:space="preserve">David Hutton, Lisa A Prosser; Ismael R Ortega-Sanchez; </t>
    </r>
    <r>
      <rPr>
        <b/>
        <sz val="10"/>
        <color theme="1"/>
        <rFont val="Arial"/>
        <family val="2"/>
      </rPr>
      <t>Andrew J. Leidner;</t>
    </r>
    <r>
      <rPr>
        <sz val="10"/>
        <color theme="1"/>
        <rFont val="Arial"/>
        <family val="2"/>
      </rPr>
      <t xml:space="preserve"> Fiona P Havers; Mila M Prill; Michael Whitaker; Lauren E. Roper; </t>
    </r>
    <r>
      <rPr>
        <b/>
        <sz val="10"/>
        <color theme="1"/>
        <rFont val="Arial"/>
        <family val="2"/>
      </rPr>
      <t>Jamison Pike;</t>
    </r>
    <r>
      <rPr>
        <sz val="10"/>
        <color theme="1"/>
        <rFont val="Arial"/>
        <family val="2"/>
      </rPr>
      <t xml:space="preserve"> Michael Melgar; Amadea Britton</t>
    </r>
  </si>
  <si>
    <t>Evaluating the Cost-Effectiveness of Respiratory Syncytial Virus Vaccination among Risk-Stratified Older Adults</t>
  </si>
  <si>
    <r>
      <rPr>
        <b/>
        <sz val="10"/>
        <color rgb="FF000000"/>
        <rFont val="Arial"/>
      </rPr>
      <t>Bo Hyun Cho, Jamison Pike, Rajreni Kaul</t>
    </r>
    <r>
      <rPr>
        <sz val="10"/>
        <color rgb="FF000000"/>
        <rFont val="Arial"/>
      </rPr>
      <t>, Michael Melgar</t>
    </r>
  </si>
  <si>
    <t xml:space="preserve">Healthcare utilization and direct medical costs of respiratory syncytial virus (RSV) among Medicare Fee-for-Service Beneficiaries aged 65 years and older, 2018-2023 </t>
  </si>
  <si>
    <t>Webpage</t>
  </si>
  <si>
    <r>
      <t xml:space="preserve">Jennifer L Farrar, Nathaniel M Lewis, Kennedy Houck, Michelle Canning, Amy Fothergill, Amanda B Payne, Adam L Cohen, </t>
    </r>
    <r>
      <rPr>
        <b/>
        <sz val="11"/>
        <color rgb="FF000000"/>
        <rFont val="Calibri"/>
        <family val="2"/>
        <scheme val="minor"/>
      </rPr>
      <t>Josh Vance</t>
    </r>
    <r>
      <rPr>
        <sz val="11"/>
        <color rgb="FF000000"/>
        <rFont val="Calibri"/>
        <family val="2"/>
        <scheme val="minor"/>
      </rPr>
      <t>, Bridget Brassil, Erin Youngkin, Bailey Glenn, Anil Mangla, Nikki Kupferman, Katharine Saunders, Cristina Meza, Dawn Nims, Susan Soliva, Brandon Blouse, Tiffany Henderson, Emily Banerjee, Brooklyn White, Rachael Birn, Anna M Stadelman, Meaghan Abrego, Meagan McLafferty, Michael G Eberhart, Michael Pietrowski, Sandra Miranda De León, Emma Creegan, Abdoulaye Diedhiou, Caleb Wiedeman, Jade Murray-Thompson, Elizabeth McCarty, Jessica Marcinkevage, Anna Kocharian, Elizabeth A Torrone, Logan C Ray, Daniel C Payne; Mpox Cases in Vaccinated Persons Team</t>
    </r>
  </si>
  <si>
    <t>Demographic and Clinical Characteristics of Mpox in Persons Who Had Previously Received 1 Dose of JYNNEOS Vaccine and in Unvaccinated Persons - 29 U.S. Jurisdictions, May 22-September 3, 2022</t>
  </si>
  <si>
    <t>Jennifer L. Farrar (CDC Mpox), Nathaniel M. Lewis (CDC Mpox), Kennedy Houck (CDC Mpox), Michelle Canning (CDC Mpox), Amy Fothergill (CDC Mpox) Amanda B. Payne (CDC Mpox), Adam L. Cohen (CDC Mpox), Josh Vance (NCIRD), Katharine Saunders (EISO) Anna M. Stadelman (EISO), Elizabeth A. Torrone (CDC Mpox) Logan C. Ray (CDC Mpox) Daniel C. Payne (CDC Mpox)</t>
  </si>
  <si>
    <t>71(51-52)</t>
  </si>
  <si>
    <t>1610-1615</t>
  </si>
  <si>
    <t>Weekly</t>
  </si>
  <si>
    <t>DOI: http://dx.doi.org/10.15585/mmwr.mm715152a2</t>
  </si>
  <si>
    <t>PMC9812445</t>
  </si>
  <si>
    <t>Journal of Community Health</t>
  </si>
  <si>
    <t>Megan E. Cahill, Sujeith Barraza Lozoya (NCIRD), Michelle A Griffin, Anna Blackstock, Kayden Stockdale, Savannah Cowman, Robert Graff, Caile Spear, Kris Carter</t>
  </si>
  <si>
    <t>Observed face mask use outside retail chain stores during the COVID-19 pandemic in two cities in the state of Idaho, USA</t>
  </si>
  <si>
    <t>Megan E Cahill, Sujeith Barraza Lozoya (NCIRD), Anna Blackstock, Kris Carter</t>
  </si>
  <si>
    <t>DOI: https://doi.org/10.1007/s10900-023-01241-5</t>
  </si>
  <si>
    <t>PMC10719412</t>
  </si>
  <si>
    <r>
      <rPr>
        <sz val="11"/>
        <color rgb="FF000000"/>
        <rFont val="Calibri"/>
        <family val="2"/>
        <scheme val="minor"/>
      </rPr>
      <t xml:space="preserve">Tarek Salih*, </t>
    </r>
    <r>
      <rPr>
        <b/>
        <sz val="11"/>
        <color rgb="FF000000"/>
        <rFont val="Calibri"/>
        <family val="2"/>
        <scheme val="minor"/>
      </rPr>
      <t>Josh Vance*,</t>
    </r>
    <r>
      <rPr>
        <sz val="11"/>
        <color rgb="FF000000"/>
        <rFont val="Calibri"/>
        <family val="2"/>
        <scheme val="minor"/>
      </rPr>
      <t xml:space="preserve"> Joshua Quint, Brenda Meza, Louise McNitt, Webster U. Lincoln, Robert Schechter</t>
    </r>
  </si>
  <si>
    <t>Demographic Disparities in Mpox Vaccination Series Completion, by Route of Vaccine Administration — California, August 9, 2022–March 31, 2023 </t>
  </si>
  <si>
    <t>Josh Vance (NCIRD)</t>
  </si>
  <si>
    <t>72(30)</t>
  </si>
  <si>
    <t>827-832</t>
  </si>
  <si>
    <t>DOI: http://dx.doi.org/10.15585/mmwr.mm7230a4</t>
  </si>
  <si>
    <t> PMC10390088</t>
  </si>
  <si>
    <r>
      <t xml:space="preserve">
Samuel Schildhauer, Kayla Saadeh, </t>
    </r>
    <r>
      <rPr>
        <b/>
        <sz val="11"/>
        <color rgb="FF000000"/>
        <rFont val="Calibri"/>
        <family val="2"/>
        <scheme val="minor"/>
      </rPr>
      <t>Josh Vance</t>
    </r>
    <r>
      <rPr>
        <sz val="11"/>
        <color rgb="FF000000"/>
        <rFont val="Calibri"/>
        <family val="2"/>
        <scheme val="minor"/>
      </rPr>
      <t>, Joshua Quint, Tarek Salih, Timothy Lo,  Awa Keinde, Edwin Chojolan, Esther Gotlieb, Marisa Ramos,  Eric Chapman, Philip Peters, Jessica Watson, Kelly A. Johnson, Eric C. Tang, Kathleen Jacobson, Robert Snyder</t>
    </r>
  </si>
  <si>
    <t>Reduced Odds of Mpox-Associated Hospitalization Among Persons Who Received JYNNEOS Vaccine — California, May 2022–May 2023</t>
  </si>
  <si>
    <t>Josh Vance (NCIRD), Philip Peters (NCHHSTP)</t>
  </si>
  <si>
    <t>992-996</t>
  </si>
  <si>
    <t>DOI: http://dx.doi.org/10.15585/mmwr.mm7236a4</t>
  </si>
  <si>
    <t>PMC10495183</t>
  </si>
  <si>
    <t>Open Forum Infectious Diseases</t>
  </si>
  <si>
    <t>Maria E. Sundaram1, Ben Christianson2, Oluwakemi D. Alonge1, Melody Doan3, Hanna Ljungman2, Elizabeth Polter2, Anne Steinberg2, Casper G. Bendixsen1, Charnetta L. Williams3, Edward A. Belongia1, Huong Q. Nguyen1, Jeffrey J. VanWormer1</t>
  </si>
  <si>
    <t>Young adult perspectives on deciding to get human papillomavirus (HPV) vaccination in urban and rural communities: A qualitative research study</t>
  </si>
  <si>
    <t>DOI: 10.1080/21645515.2025.2508572</t>
  </si>
  <si>
    <t xml:space="preserve"> PMC12160599</t>
  </si>
  <si>
    <r>
      <t>Emma Stanislawski, MPH</t>
    </r>
    <r>
      <rPr>
        <sz val="11"/>
        <color rgb="FF000000"/>
        <rFont val="Calibri"/>
        <family val="2"/>
        <scheme val="minor"/>
      </rPr>
      <t xml:space="preserve">1; Andrea Romero1; Nora Holzinger, MA, MPH1; Ruth Healy, MPH1; Nathaniel J. Webb, PhD1; Kathryn Cruz1; Marla Sievers, MPH1; Su Aung, MD2; Samantha Swisher, DVM3,4; Ruth Stefanos, MD5; </t>
    </r>
    <r>
      <rPr>
        <b/>
        <sz val="11"/>
        <color rgb="FF000000"/>
        <rFont val="Calibri"/>
        <family val="2"/>
        <scheme val="minor"/>
      </rPr>
      <t>Jennifer Yara-Zelenski, MPH</t>
    </r>
    <r>
      <rPr>
        <sz val="11"/>
        <color rgb="FF000000"/>
        <rFont val="Calibri"/>
        <family val="2"/>
        <scheme val="minor"/>
      </rPr>
      <t>6; Aaron D. Kofman, MD7; Rebecca Pierce, PhD7; Chisom Onyeuku, MSPH8; Kara McGinnis Pilote, MPH, MA8; Jessica Leung, MPH5; Chad Smelser, MD1</t>
    </r>
  </si>
  <si>
    <t>Measles Outbreak — New Mexico, 2025</t>
  </si>
  <si>
    <t>DOI: https://doi.org/10.15585/mmwr.mm7509a1</t>
  </si>
  <si>
    <r>
      <t xml:space="preserve">Julia C. Bennett, PhD; Elyse Bevers, MPH; Sara Chronister, MPH; Ashley McHugh, MPH; Maham Choudry, MPH; </t>
    </r>
    <r>
      <rPr>
        <b/>
        <sz val="11"/>
        <color rgb="FF000000"/>
        <rFont val="Calibri"/>
        <family val="2"/>
        <scheme val="minor"/>
      </rPr>
      <t>Mary Huynh</t>
    </r>
    <r>
      <rPr>
        <sz val="11"/>
        <color rgb="FF000000"/>
        <rFont val="Calibri"/>
        <family val="2"/>
        <scheme val="minor"/>
      </rPr>
      <t>, MPH; Janet A. Englund, MD; Scott Lindquist, MD; Michelle L. Holshue, MPH</t>
    </r>
  </si>
  <si>
    <t>RSV Prevention Products and Severe RSV-Associated Disease Among Infants</t>
  </si>
  <si>
    <t>10.1001/jamanetworkopen.2026.5695</t>
  </si>
  <si>
    <t>doi: 10.1001/jamanetworkopen.2026.5695</t>
  </si>
  <si>
    <t>https://jamanetwork.com/journals/jamanetworkopen/fullarticle/2847512?guestAccessKey=3321c8cc-f959-4187-ab62-863e3da06d7b&amp;utm_source=jps&amp;utm_medium=email&amp;utm_campaign=author_alert-jamanetwork&amp;utm_content=author-author_engagement&amp;utm_term=1m</t>
  </si>
  <si>
    <t>Tamara C. Surtees, Charleigh J. Granade, Christopher Wells, Michelle Banks, Paul Lucas, Samuel B. Graitcer</t>
  </si>
  <si>
    <t>CDC COVID-19 vaccination program: Healthcare provider compliance with COVID-19 vaccine requirements and recommendations</t>
  </si>
  <si>
    <t>DOI: https://doi.org/10.1016/j.vaccine.2023.12.023</t>
  </si>
  <si>
    <t>PMC11295292</t>
  </si>
  <si>
    <t>Matthew Z. Dudley, Amimah F. Asif, Ebony S. Thomas, Megan C. Lindley, Kerry Olmsted, Wallace Wennerberg, Elisa Cink, Michelle Goryn, Walter A. Orenstein, Daniel A. Salmon</t>
  </si>
  <si>
    <t>Quality Improvement Programs for Adult Immunization: A Systematic Literature Review</t>
  </si>
  <si>
    <t>Cynthia M. Rand, MD, MPH, Robin Bender, LMSW, Christina Albertin, MPH, BSN, Ann Schrader, MS; Sharon Humiston, MD, MPH; Courtney Olson-Chen, MD, MSCI; Elizabeth A. Westen; MD, Judy Chen, MD; Yung-Shee J. Hsu, MD; Amy Parker Fiebelkorn, MSN, MPH; Sitaram Vangala; MS, Peter G. Szilagyi, MD, MPH</t>
  </si>
  <si>
    <t>A Cluster Randomized Controlled Trial to Improve Influenza and Tdap Vaccination Rates for Pregnant Women</t>
  </si>
  <si>
    <t>Journal of American Medical Directors Association</t>
  </si>
  <si>
    <t>Sobczyk EA, Parker Fiebelkorn A, Schultz EM, Casey DM, Roney HL, Davis RC, Nace DA</t>
  </si>
  <si>
    <t>New COVID-19 Vaccine Cost and Access Barriers Add Challenges to Immunizing Post-Acute and Long-Term Care Staff</t>
  </si>
  <si>
    <t>4/3/2025?</t>
  </si>
  <si>
    <t>DOI: 10.1016/j.jamda.2025.105519</t>
  </si>
  <si>
    <t>Elizabeth A. Sobczyk, Ellen M. Schultz, Angela K. Shen, David M. Casey, Heather L.Roney, Sheena A. Bumpas, Leslie B. Eber, Amy Parker Fiebelkorn</t>
  </si>
  <si>
    <t xml:space="preserve">Developing and Implementing an Intervention to Increase Immunization Coverage among Frontline Long-term Care Staff </t>
  </si>
  <si>
    <t>DOI: 10.1016/j.jamda.2025.105761</t>
  </si>
  <si>
    <t>Olmsted, K. E.
Ramsey-Omonua, T.
Thomas, E. S.
Lee, J. T.
Owens, L.
Graitcer, S.
Mells, J.</t>
  </si>
  <si>
    <t>Notes from the field: Expanding birthing hospital enrollment in the Vaccines for Children Program to increase infant immunization against respiratory syncytial virus - United States, October 2023-March 2025</t>
  </si>
  <si>
    <t>10.15585/mmwr.mm7437a2</t>
  </si>
  <si>
    <t>PMC12633859</t>
  </si>
  <si>
    <r>
      <t xml:space="preserve">Wallace M, Rosenblum HG, Moulia DL, Broder KR, Shimabukuro TS, Taylor CA, Havers FP, </t>
    </r>
    <r>
      <rPr>
        <b/>
        <sz val="11"/>
        <color rgb="FF000000"/>
        <rFont val="Arial"/>
        <family val="2"/>
      </rPr>
      <t>Meyer SA</t>
    </r>
    <r>
      <rPr>
        <sz val="11"/>
        <color rgb="FF000000"/>
        <rFont val="Arial"/>
        <family val="2"/>
      </rPr>
      <t>, Dooling K, Oliver SE, Hadler SC, Gargano JW.</t>
    </r>
  </si>
  <si>
    <t>Benefit-Risk Assessment Framework to Inform Policy Decisions: A Summary of the Advisory Committee for Immunization Practices Use of Benefit-Risk Assessments During the First Year of COVID-19 Vaccine Administration in the United States.</t>
  </si>
  <si>
    <t>pending</t>
  </si>
  <si>
    <t>DOI: 10.1016/j.vaccine.2023.07.037</t>
  </si>
  <si>
    <r>
      <t xml:space="preserve">Jones JM, Fleming-Dutra KE, Prill MM, Roper LE, Brooks O, Sanchez PJ, Kotton CN, Mahon BE, </t>
    </r>
    <r>
      <rPr>
        <b/>
        <sz val="11"/>
        <color theme="1"/>
        <rFont val="Arial"/>
        <family val="2"/>
      </rPr>
      <t xml:space="preserve">Meyer </t>
    </r>
    <r>
      <rPr>
        <sz val="11"/>
        <color theme="1"/>
        <rFont val="Arial"/>
        <family val="2"/>
      </rPr>
      <t>S, Long SS, McMorrow ML</t>
    </r>
  </si>
  <si>
    <t>Use of Nirsevimab for the Prevention of Respiratory Syncytial Virus Disease Among Infants and Young Children: Recommendations of the Advisory Committee on Immunization Practices — United States, 2023.</t>
  </si>
  <si>
    <t>920-925</t>
  </si>
  <si>
    <t>DOI: 10.15585/mmwr.mm7234a4</t>
  </si>
  <si>
    <t> PMC10468217</t>
  </si>
  <si>
    <t>Joanna J. Regan, MD1; Danielle L. Moulia, MPH1; Ruth Link-Gelles, PhD1; Monica Godfrey, MPH1; Josephine Mak, MPH1; Morgan Najdowski, MPH1,2; Hannah G. Rosenblum, MD1; Melisa M. Shah, MD1; Evelyn Twentyman, MD1; Sarah Meyer, MD1; Georgina Peacock, MD1; Natalie Thornburg, PhD1; Fiona P. Havers, MD1; Sharon Saydah, PhD1; Oliver Brooks, MD3; H. Keipp Talbot, MD4; Grace M. Lee, MD5; Beth P. Bell, MD6; Barbara E. Mahon, MD1; Matthew F. Daley, MD7; Katherine E. Fleming-Dutra, MD1; Megan Wallace, DrPH</t>
  </si>
  <si>
    <t>Use of Updated COVID-19 Vaccines 2023–2024 Formula for Persons Aged ≥6 Months: Recommendations of the Advisory Committee on Immunization Practices — United States, September 2023</t>
  </si>
  <si>
    <t>Joanna Regan , Megan Wallace</t>
  </si>
  <si>
    <t>DOI: 10.15585/mmwr.mm7242e1</t>
  </si>
  <si>
    <t>PMC10602621</t>
  </si>
  <si>
    <t>Vaccine,</t>
  </si>
  <si>
    <r>
      <t xml:space="preserve">Sara E. Oliver, Megan Wallace, Evelyn Twentyman, Danielle L. Moulia, Monica Godfrey, Ruth Link-Gelles, </t>
    </r>
    <r>
      <rPr>
        <b/>
        <sz val="11"/>
        <color theme="1"/>
        <rFont val="Arial"/>
        <family val="2"/>
      </rPr>
      <t>Sarah Meyer,</t>
    </r>
    <r>
      <rPr>
        <sz val="11"/>
        <color theme="1"/>
        <rFont val="Arial"/>
        <family val="2"/>
      </rPr>
      <t xml:space="preserve"> Katherine E. Fleming-Dutra, </t>
    </r>
    <r>
      <rPr>
        <b/>
        <sz val="11"/>
        <color theme="1"/>
        <rFont val="Arial"/>
        <family val="2"/>
      </rPr>
      <t>Elisha Hall,</t>
    </r>
    <r>
      <rPr>
        <sz val="11"/>
        <color theme="1"/>
        <rFont val="Arial"/>
        <family val="2"/>
      </rPr>
      <t xml:space="preserve"> JoEllen Wolicki, Jessica MacNeil, Beth P. Bell, Grace M. Lee, Matthew F. Daley, Amanda Cohn, Melinda Wharton,</t>
    </r>
  </si>
  <si>
    <t>Development of COVID-19 vaccine policy — United States, 2020–2023,</t>
  </si>
  <si>
    <t>Sara Oliver, Melinda Wharton</t>
  </si>
  <si>
    <t>DOI: https://doi.org/10.1016/j.vaccine.2023.12.022.</t>
  </si>
  <si>
    <t>PMC11893158</t>
  </si>
  <si>
    <r>
      <t xml:space="preserve">Nimalie D. Stone, MD, MSa, </t>
    </r>
    <r>
      <rPr>
        <b/>
        <sz val="11"/>
        <color rgb="FF000000"/>
        <rFont val="Arial"/>
        <family val="2"/>
      </rPr>
      <t>Amy Parker Fiebelkorn</t>
    </r>
    <r>
      <rPr>
        <sz val="11"/>
        <color rgb="FF000000"/>
        <rFont val="Arial"/>
        <family val="2"/>
      </rPr>
      <t xml:space="preserve">, MSN, MPHa, Angela Guo, MBS, MPHa,b, Elizabeth Mothershed, MSa, Lauren Moccia, MAa, Jeneita Bell, MDa, Diana Yassanye, MSeDa,c, </t>
    </r>
    <r>
      <rPr>
        <b/>
        <sz val="11"/>
        <color rgb="FF000000"/>
        <rFont val="Arial"/>
        <family val="2"/>
      </rPr>
      <t>Elisha Hall</t>
    </r>
    <r>
      <rPr>
        <sz val="11"/>
        <color rgb="FF000000"/>
        <rFont val="Arial"/>
        <family val="2"/>
      </rPr>
      <t xml:space="preserve">, PhD, RDa, Chris Duggar, MPHa, Arjun Srinivasan, MDa, </t>
    </r>
    <r>
      <rPr>
        <b/>
        <sz val="11"/>
        <color rgb="FF000000"/>
        <rFont val="Arial"/>
        <family val="2"/>
      </rPr>
      <t>Sarah A. Meye</t>
    </r>
    <r>
      <rPr>
        <sz val="11"/>
        <color rgb="FF000000"/>
        <rFont val="Arial"/>
        <family val="2"/>
      </rPr>
      <t>r, MD, MPHa, Ruth Link-Gelles, PhD, MPHa</t>
    </r>
  </si>
  <si>
    <t xml:space="preserve">Challenges and Opportunities during the COVID-19 Vaccination Efforts in Long-term Care </t>
  </si>
  <si>
    <t>Nimale Stone, Ruth Link-Gelles</t>
  </si>
  <si>
    <t>DOI: https://doi.org/10.1016/j.vaccine.2023.12.064</t>
  </si>
  <si>
    <r>
      <rPr>
        <b/>
        <sz val="11"/>
        <color rgb="FF000000"/>
        <rFont val="Arial"/>
        <family val="2"/>
      </rPr>
      <t>Elisha Hall</t>
    </r>
    <r>
      <rPr>
        <sz val="11"/>
        <color rgb="FF000000"/>
        <rFont val="Arial"/>
        <family val="2"/>
      </rPr>
      <t>, Barbara Mahon, Georgina Peacock</t>
    </r>
  </si>
  <si>
    <t>The U.S. COVID-19 vaccination program: A look back and future directions</t>
  </si>
  <si>
    <t>Elisha Hall, Georgina Peacock</t>
  </si>
  <si>
    <t>Pending</t>
  </si>
  <si>
    <t>https://doi.org/10.1016/j.vaccine.2024.01.053</t>
  </si>
  <si>
    <t>Kevin Chatham-Stephens, Rosalind J. Carter, Chris Duggar, Kate R. Woodworth, Catherine Amanda Carnes, Achal Bhatt, Christina Ottis, Chris Voegeli, Shannon Stokley, Tara Vogt</t>
  </si>
  <si>
    <t>An Overview of the COVID-19 Pediatric Vaccine Program — The U.S. Experience Vaccinating Children Ages 6 Months Through 17 Years</t>
  </si>
  <si>
    <t>Makhabele Nolana Woolfork, Kambria Haire, Oluyemi Farinu, Jasmine Ruffin, Jennifer M. Nelson, Fatima Coronado, Benjamin J. Silk, LaTreace Harris, Chastity Walker, Brian J. Manns</t>
  </si>
  <si>
    <t>A health equity science approach to assessing drivers of COVID-19 vaccination coverage disparities over the course of the COVID-19 pandemic, United States, December 2020–December 2022</t>
  </si>
  <si>
    <t>DOI: https://doi.org/10.1016/j.vaccine.2024.126158</t>
  </si>
  <si>
    <t> PMC11602382</t>
  </si>
  <si>
    <t>Social Science &amp; Medicine</t>
  </si>
  <si>
    <r>
      <t>Ben Kasstan,  </t>
    </r>
    <r>
      <rPr>
        <b/>
        <sz val="11"/>
        <color theme="1"/>
        <rFont val="Arial"/>
        <family val="2"/>
      </rPr>
      <t>Stephen A. Flores</t>
    </r>
    <r>
      <rPr>
        <sz val="11"/>
        <color theme="1"/>
        <rFont val="Arial"/>
        <family val="2"/>
      </rPr>
      <t xml:space="preserve">, Delia Easton, </t>
    </r>
    <r>
      <rPr>
        <b/>
        <sz val="11"/>
        <color theme="1"/>
        <rFont val="Arial"/>
        <family val="2"/>
      </rPr>
      <t>Achal Bhatt</t>
    </r>
    <r>
      <rPr>
        <sz val="11"/>
        <color theme="1"/>
        <rFont val="Arial"/>
        <family val="2"/>
      </rPr>
      <t>, Vanessa Saliba, Tracey Chantler</t>
    </r>
  </si>
  <si>
    <t>Polio, public health memories and temporal dissonance of re-emerging infectious diseases in the global north</t>
  </si>
  <si>
    <t>DOI: https://doi.org/10.1016/j.socscimed.2024.117196</t>
  </si>
  <si>
    <t>PMC11863350</t>
  </si>
  <si>
    <t>Anh N. Ly, PhD; Amanda Shotts, MPH; Tiffany Torres, MPH; Georgina Peacock, MD; David E. Sugerman, MD; Carolyn Crisp, PhD; Gretchen Rodriguez, MPH; Thi Dang, MPH; Diana Martinez, PhD; Saroj Rai, PhD; Varun Shetty, MD; Ashley Meehan, MPH; Susan Hocevar Adkins, MD; Thomas D. Filardo, MD; Nicole F. Dowling, PhD; Katherine Wells, DrPH</t>
  </si>
  <si>
    <t>Measles Outbreak in a Child Care Facility — Lubbock, Texas, March–April 2025</t>
  </si>
  <si>
    <t>DOI: http://dx.doi.org/10.15585/mmwr.mm7521a1</t>
  </si>
  <si>
    <t>Duggar, C., Santoli, J. M., Noblit, C., Moore, L. B., El Kalach, R., Bridges, C. B.</t>
  </si>
  <si>
    <t>U.S. COVID-19 vaccine distribution strategies, systems, performance, and lessons learned, December 2020 - May 2023</t>
  </si>
  <si>
    <t>DOI: 10.1016/j.vaccine.2024.02.020</t>
  </si>
  <si>
    <t>PMC11366301</t>
  </si>
  <si>
    <t>Journal Name
(please state where currently under review or final journal of publication)</t>
  </si>
  <si>
    <t>J Infect Dis</t>
  </si>
  <si>
    <t>Fiebelkorn AP, Redd SB, Gallagher K, Rota PA, Rota J, Bellini W, Seward J.</t>
  </si>
  <si>
    <t>Measles in the United States during the postelimination era</t>
  </si>
  <si>
    <t>DOI: 10.1086/656914</t>
  </si>
  <si>
    <t>Emerg Infect Dis</t>
  </si>
  <si>
    <t>Fiebelkorn AP, Lawler J, Curns AT, Brandeburg C, Wallace GS.</t>
  </si>
  <si>
    <t>Mumps postexposure prophylaxis with a third dose of measles-mumps-rubella vaccine, Orange County, New York, USA</t>
  </si>
  <si>
    <t>Fiebelkorn AP, Curns AT, Wallace GS.</t>
  </si>
  <si>
    <t>DOI: 10.3201/eid1909.130299</t>
  </si>
  <si>
    <t>PMC3810923</t>
  </si>
  <si>
    <t>Hum Vaccin Immunother</t>
  </si>
  <si>
    <t>Fiebelkorn AP, Rosen JB, Brown C, Zimmerman CM, Renshowitz H, D'Andrea C, Gallagher KM, Harpaz R, Zucker JR.</t>
  </si>
  <si>
    <t>Environmental factors potentially associated with mumps transmission in yeshivas during a mumps outbreak among highly vaccinated students: Brooklyn, New York, 2009-2010</t>
  </si>
  <si>
    <t>Fiebelkorn AP.</t>
  </si>
  <si>
    <t>DOI: 10.4161/hv.22415</t>
  </si>
  <si>
    <t>PMC3667936</t>
  </si>
  <si>
    <t>Pediatr Infect Dis J</t>
  </si>
  <si>
    <t>Nelson GE, Aguon A, Valencia E, Oliva R, Guerrero ML, Reyes R, Lizama A, Diras D, Mathew A, Camacho EJ, Monforte MN, Chen TH, Mahamud A, Kutty PK, Hickman C, Bellini WJ, Seward JF, Gallagher K, Fiebelkorn AP.</t>
  </si>
  <si>
    <t>Epidemiology of a mumps outbreak in a highly vaccinated island population and use of a third dose of measles-mumps-rubella vaccine for outbreak control--Guam 2009 to 2010</t>
  </si>
  <si>
    <t>Nelson GE.</t>
  </si>
  <si>
    <t>April 2013 (no day)</t>
  </si>
  <si>
    <t>DOI: 10.1097/INF.0b013e318279f593</t>
  </si>
  <si>
    <t>PMC6893844</t>
  </si>
  <si>
    <t>Open Forum Infect Dis</t>
  </si>
  <si>
    <t>Fiebelkorn AP, Coleman LA, Belongia EA, Freeman SK, York D, Bi D, Zhang C, Ngo L, Rubin S.</t>
  </si>
  <si>
    <t>Mumps antibody response in young adults after a third dose of measles-mumps-rubella vaccine</t>
  </si>
  <si>
    <t>Fiebelkorn AP, Bi D.</t>
  </si>
  <si>
    <t>DOI: 10.1093/ofid/ofu094</t>
  </si>
  <si>
    <t>PMC4324223</t>
  </si>
  <si>
    <t>Fiebelkorn AP, Seward JF, Orenstein WA.</t>
  </si>
  <si>
    <t>A global perspective of vaccination of healthcare personnel against measles: systematic review</t>
  </si>
  <si>
    <t>Fiebelkorn AP, Seward JF.</t>
  </si>
  <si>
    <t>DOI: 10.1016/j.vaccine.2013.11.005</t>
  </si>
  <si>
    <t>PMC4691996</t>
  </si>
  <si>
    <t>DUPLICATE</t>
  </si>
  <si>
    <t>Fiebelkorn AP, Coleman LA, Belongia EA, Freeman SK, York D, Bi D, Kulkarni A, Audet S, Mercader S, McGrew M, Hickman CJ, Bellini WJ, Shivakoti R, Griffin DE, Beeler J.</t>
  </si>
  <si>
    <t>Measles Virus Neutralizing Antibody Response, Cell-Mediated Immunity, and Immunoglobulin G Antibody Avidity Before and After Receipt of a Third Dose of Measles, Mumps, and Rubella Vaccine in Young Adults</t>
  </si>
  <si>
    <t>Fiebelkorn AP, Bi D, Mercader S, McGrew M, Hickman CJ, Bellini WJ.</t>
  </si>
  <si>
    <t>DOI: 10.1093/infdis/jiv555</t>
  </si>
  <si>
    <t>PMC5729920</t>
  </si>
  <si>
    <t>International Encyclopedia of Public Health</t>
  </si>
  <si>
    <t>Gastañaduy P., Fiebelkorn A.P.</t>
  </si>
  <si>
    <t>Mumps</t>
  </si>
  <si>
    <t>Gastañaduy, P., Fiebelkorn, A.P.</t>
  </si>
  <si>
    <t>Lin X, Fiebelkorn AP, Pabst LJ.</t>
  </si>
  <si>
    <t>Trends in compliance with two-dose influenza vaccine recommendations in children aged 6 months through 8 years, 2010-2015</t>
  </si>
  <si>
    <t>DOI: 10.1016/j.vaccine.2016.09.037</t>
  </si>
  <si>
    <t>PMC5327653</t>
  </si>
  <si>
    <t>Microbiol Spectr</t>
  </si>
  <si>
    <t>Schuchat A, Fiebelkorn AP, Bellini W.</t>
  </si>
  <si>
    <t>Measles in the United States since the Millennium: Perils and Progress in the Postelimination Era</t>
  </si>
  <si>
    <t>DOI: 10.1128/microbiolspec.EI10-0006-2015</t>
  </si>
  <si>
    <t>Am J Epidemiol</t>
  </si>
  <si>
    <t>Gastañaduy PA, Paul P, Fiebelkorn AP, Redd SB, Lopman BA, Gambhir M, Wallace GS.</t>
  </si>
  <si>
    <t>Assessment of the Status of Measles Elimination in the United States, 2001-2014</t>
  </si>
  <si>
    <t>DOI: 10.1093/aje/kww168</t>
  </si>
  <si>
    <t>PMC7110139</t>
  </si>
  <si>
    <t>Ann Intern Med</t>
  </si>
  <si>
    <t>Hyle EP, Rao SR, Jentes ES, Fiebelkorn AP, Hagmann SHF, Taylor Walker A, Walensky RP, Ryan ET, LaRocque RC.</t>
  </si>
  <si>
    <t>Missed opportunities for measles, mumps, rubella vaccination among departing U.S. adult travelers receiving pretravel health consultations</t>
  </si>
  <si>
    <t>Jentes ES, Fiebelkorn AP, Taylor Walker A.</t>
  </si>
  <si>
    <t>DOI: 10.7326/M16-2249</t>
  </si>
  <si>
    <t>PMC5513758</t>
  </si>
  <si>
    <t>Latner DR, Parker Fiebelkorn A, McGrew M, Williams NJ, Coleman LA, McLean HQ, Rubin S, Hickman CJ.</t>
  </si>
  <si>
    <t>Mumps Virus Nucleoprotein and Hemagglutinin-Specific Antibody Response Following a Third Dose of Measles Mumps Rubella Vaccine</t>
  </si>
  <si>
    <t>Latner DR, Parker Fiebelkorn A, McGrew M, Williams NJ, Hickman CJ.</t>
  </si>
  <si>
    <t>DOI: 10.1093/ofid/ofx263</t>
  </si>
  <si>
    <t>PMC5751044</t>
  </si>
  <si>
    <t>Lu PJ, O'Halloran A, Kennedy ED, Williams WW, Kim D, Fiebelkorn AP, Donahue S, Bridges CB.</t>
  </si>
  <si>
    <t>Awareness among adults of vaccine-preventable diseases and recommended vaccinations, United States, 2015</t>
  </si>
  <si>
    <t>Lu PJ, O'Halloran A, Kennedy ED, Williams WW, Kim D, Fiebelkorn AP, Bridges CB.</t>
  </si>
  <si>
    <t>Am J Public Health</t>
  </si>
  <si>
    <t>Moulia DL, Dopson SA, Vagi SJ, Fitzgerald TJ, Fiebelkorn AP, Graitcer SB.</t>
  </si>
  <si>
    <t>Readiness to Vaccinate Critical Personnel During an Influenza Pandemic, United States, 2015</t>
  </si>
  <si>
    <t>Clin Infect Dis</t>
  </si>
  <si>
    <t>Hyle EP, Fields NF, Fiebelkorn AP, Walker AT, Gastañaduy P, Rao SR, Ryan ET, LaRocque RC, Walensky RP.</t>
  </si>
  <si>
    <t>The Clinical Impact and Cost-effectiveness of Measles-Mumps-Rubella Vaccination to Prevent Measles Importations Among International Travelers From the United States</t>
  </si>
  <si>
    <t>Fiebelkorn AP, Walker AT, Gastañaduy P.</t>
  </si>
  <si>
    <t>Lehnert JD, Moulia DL, Murthy NC, Parker Fiebelkorn A, Vagi SJ, Dopson SA, Graitcer SB.</t>
  </si>
  <si>
    <t>Key elements for conducting vaccination exercises for pandemic influenza preparedness</t>
  </si>
  <si>
    <t>Murthy NC, Parker Fiebelkorn A, Vagi SJ, Dopson SA, Graitcer SB.</t>
  </si>
  <si>
    <t>Lutz CS, Kim DK, Black CL, Ball SW, Devlin RG, Srivastav A, Fiebelkorn AP, Bridges CB.</t>
  </si>
  <si>
    <t>Clinicians' and Pharmacists' Reported Implementation of Vaccination Practices for Adults</t>
  </si>
  <si>
    <t>Lutz CS, Kim DK, Black CL, Srivastav A, Fiebelkorn AP, Bridges CB.</t>
  </si>
  <si>
    <t>McLean HQ, Fiebelkorn AP, Ogee-Nwankwo A, Hao L, Coleman LA, Adebayo A, Icenogle JP.</t>
  </si>
  <si>
    <t>Rubella virus neutralizing antibody response after a third dose of measles-mumps-rubella vaccine in young adults</t>
  </si>
  <si>
    <t>Fiebelkorn AP, Ogee-Nwankwo A, Hao L, Adebayo A, Icenogle JP.</t>
  </si>
  <si>
    <t>Seagle EE, Bednarczyk RA, Hill T, Fiebelkorn AP, Hickman CJ, Icenogle JP, Belongia EA, McLean HQ.</t>
  </si>
  <si>
    <t>Measles, mumps, and rubella antibody patterns of persistence and rate of decline following the second dose of the MMR vaccine</t>
  </si>
  <si>
    <t>Fiebelkorn AP, Hickman CJ, Icenogle JP.</t>
  </si>
  <si>
    <t>Srivastav A., Black C.L., Lutz C.S., Fiebelkorn A.P., Ball S.W., Devlin R., Pabst L.J., Williams W.W., Kim D.K.</t>
  </si>
  <si>
    <t>U.S. clinicians’ and pharmacists’ reported barriers to implementation of the Standards for Adult Immunization Practice</t>
  </si>
  <si>
    <t>Black, C.L., Lutz, C.S., Fiebelkorn, A.P., Pabst, L.J., Williams, W.W., Kim, D.K.</t>
  </si>
  <si>
    <t>Granade CJ, Parker Fiebelkorn A, Black CL, Lutz CS, Srivastav A, Bridges CB, Ball SW, Devlin RG, Cloud AJ, Kim DK.</t>
  </si>
  <si>
    <t>Implementation of the Standards for adult immunization practice: A survey of US Health care providers</t>
  </si>
  <si>
    <t>Granade, Charleigh; Parker Fiebelkorn, Amy; Bridges, Carolyn.</t>
  </si>
  <si>
    <t>DOI: 10.1016/j.vaccine.2020.05.073</t>
  </si>
  <si>
    <t>PMC9638970</t>
  </si>
  <si>
    <t>JAMA Pediatr</t>
  </si>
  <si>
    <t>Hyle EP, Rao SR, Bangs AC, Gastañaduy P, Fiebelkorn AP, Hagmann SHF, Walker AT, Walensky RP, Ryan ET, LaRocque RC.</t>
  </si>
  <si>
    <t>Clinical Practices for Measles-Mumps-Rubella Vaccination Among US Pediatric International Travelers</t>
  </si>
  <si>
    <t>Gastañaduy P,Fiebelkorn AP, Walker AT.</t>
  </si>
  <si>
    <t>DOI: 10.1001/jamapediatrics.2019.4515</t>
  </si>
  <si>
    <t>PMC6902185</t>
  </si>
  <si>
    <t>Lutz C.S., Fink R.V., Cloud A.J., Stevenson J., Kim D., Fiebelkorn A.P.</t>
  </si>
  <si>
    <t>Factors associated with perceptions of influenza vaccine safety and effectiveness among adults, United States, 2017–2018</t>
  </si>
  <si>
    <t>Lutz, C.S., Stevenson, J., Kim, D., Fiebelkorn, A.P.</t>
  </si>
  <si>
    <t>DOI: 10.1016/j.vaccine.2019.12.004</t>
  </si>
  <si>
    <t>Infect Dis (Auckl)</t>
  </si>
  <si>
    <t>Murthy NC, Black C, Kahn KE, Ding H, Ball S, Fink RV, Devlin R, D'Angelo D, Fiebelkorn AP.</t>
  </si>
  <si>
    <t>Tetanus, Diphtheria, and Acellular Pertussis and Influenza Vaccinations among Women With a Live Birth, Internet Panel Survey, 2017-2018</t>
  </si>
  <si>
    <t>Murthy NC, Black C, Kahn KE, Ding H, D'Angelo D, Fiebelkorn AP.</t>
  </si>
  <si>
    <t>DOI: 10.1177/1178633720904099</t>
  </si>
  <si>
    <t>PMC7011328</t>
  </si>
  <si>
    <t>Marin M, Fiebelkorn AP, Bi D, Coleman LA, Routh J, Curns AT, McLean HQ.</t>
  </si>
  <si>
    <t>Adverse Events Among Young Adults Following a Third Dose of Measles-Mumps-Rubella Vaccine [2021]</t>
  </si>
  <si>
    <t>Marin M, Fiebelkorn AP, Bi D, Routh J, Curns AT.</t>
  </si>
  <si>
    <t>DOI: 10.1093/cid/ciaa1090</t>
  </si>
  <si>
    <t>Marks SM, Clara A, Fiebelkorn AP, Le X, Armstrong PA, Campbell S, Van Alstyne JM, Price S, Bolton J, Sandhu PK, Bombard JM, Strona FV.</t>
  </si>
  <si>
    <t>Influenza Vaccination in Health Centers During the Coronavirus Disease 2019 Pandemic-United States, 7-27 November 2020</t>
  </si>
  <si>
    <t>Marks SM, Clara A, Fiebelkorn AP, Armstrong PA, Sandhu PK, Bombard JM, Strona FV.</t>
  </si>
  <si>
    <t>DOI: 10.1093/cid/ciab318</t>
  </si>
  <si>
    <t>PMC8136067</t>
  </si>
  <si>
    <t>Hall E, Odafe S, Madden J, Schillie S.</t>
  </si>
  <si>
    <t>Qualitative Conceptual Content Analysis of COVID-19 Vaccine Administration Error Inquiries</t>
  </si>
  <si>
    <t>DOI: 10.3390/vaccines11020254</t>
  </si>
  <si>
    <t>PMC9961408</t>
  </si>
  <si>
    <t>CDC Yellow Book: Health Information for International Travel</t>
  </si>
  <si>
    <t>Kroger A, Freedman M</t>
  </si>
  <si>
    <t>Vaccination and Immunoprophylaxis - General Principles</t>
  </si>
  <si>
    <t>24-30</t>
  </si>
  <si>
    <t>https://wwwnc.cdc.gov/travel/yellowbook/2024/preparing/vaccination-and-immunoprophylaxis-general-principles</t>
  </si>
  <si>
    <t>Kotton C, Kroger A, Freedman D</t>
  </si>
  <si>
    <t>Immunocompromised Travelers</t>
  </si>
  <si>
    <t>139-157</t>
  </si>
  <si>
    <t>https://wwwnc.cdc.gov/travel/yellowbook/2024/additional-considerations/immunocompromised-travelers</t>
  </si>
  <si>
    <t>Emerg Infectious Diseases</t>
  </si>
  <si>
    <r>
      <t xml:space="preserve">Beeson AM, Rich SN, Russo ME, Bhatnagar J, Kumar RN, Ritter JM, Annambhotla P, Takeda MR, Kuhn KF, Pillai P, DeLeon-Carnes M, Scobell R, Ekambaram M, Finkel R, </t>
    </r>
    <r>
      <rPr>
        <b/>
        <sz val="10"/>
        <color rgb="FF212121"/>
        <rFont val="Arial"/>
        <family val="2"/>
      </rPr>
      <t>Reagan-Steiner S</t>
    </r>
    <r>
      <rPr>
        <sz val="10"/>
        <color rgb="FF212121"/>
        <rFont val="Arial"/>
        <family val="2"/>
      </rPr>
      <t>, Martines RB, Satoskar RS, Vranic GM, Mohammed R, Rivera GE, Cooper K, Abdelal H, Couturier MR, Bradley BT, Hinckley AF, Koehler JE, Mead PS, Kuehnert MJ, Ackelsberg J, Basavaraju SV, Marx GE</t>
    </r>
  </si>
  <si>
    <t>Bartonella quintana Infection in Kidney Transplant Recipients from Donor Experiencing Homelessness, United States, 2022</t>
  </si>
  <si>
    <t>Sarah Reagan Steiner</t>
  </si>
  <si>
    <t>30(12)</t>
  </si>
  <si>
    <t>2467-2475</t>
  </si>
  <si>
    <t>doi: 10.3201/eid3012.240310</t>
  </si>
  <si>
    <t>PMC11616653</t>
  </si>
  <si>
    <r>
      <rPr>
        <sz val="10"/>
        <color rgb="FF212121"/>
        <rFont val="Arial"/>
        <family val="2"/>
      </rPr>
      <t xml:space="preserve">Keller M, Agladze M, Kupferman T, Rich SN, Marx GE, Gnanaprakasam R, Kodama R, Feldmesser M, Mitchell K, Wroblewski D, Juretschko S, Kleinman GM, Kuehnert MJ, Bhatnagar J, Carnes MD, Bullock H, </t>
    </r>
    <r>
      <rPr>
        <b/>
        <sz val="10"/>
        <color rgb="FF212121"/>
        <rFont val="Arial"/>
        <family val="2"/>
      </rPr>
      <t>Reagan-Steiner S</t>
    </r>
    <r>
      <rPr>
        <sz val="10"/>
        <color rgb="FF212121"/>
        <rFont val="Arial"/>
        <family val="2"/>
      </rPr>
      <t>, Corvese G, Ackelsberg J</t>
    </r>
  </si>
  <si>
    <t>Bartonella quintana Endocarditis in Persons Experiencing Homelessness, New York, New York, USA, 2020-2023</t>
  </si>
  <si>
    <t>2494-2501</t>
  </si>
  <si>
    <t>10.3201/eid3012.240433</t>
  </si>
  <si>
    <t>PMC11616645</t>
  </si>
  <si>
    <t>Clin Infectious Diseases</t>
  </si>
  <si>
    <r>
      <rPr>
        <sz val="10"/>
        <color rgb="FF212121"/>
        <rFont val="Arial"/>
        <family val="2"/>
      </rPr>
      <t xml:space="preserve">Rogers JH, Westley B, Mego T, Newell KG, Laurance J, Smith L, Parker J, Park SY, Venkatasubrahmanyam S, Noll N, Bercovici S, Rao AK, McCollum AM, Davidson W, Carson WC, Townsend MB, Doty JB, Hutson C, Li Y, Wilkins K, Deng J, Gigante CM, Satheshkumar PS, Tuttle A, Villalba JA, Bhatnagar J, </t>
    </r>
    <r>
      <rPr>
        <b/>
        <sz val="10"/>
        <color rgb="FF212121"/>
        <rFont val="Arial"/>
        <family val="2"/>
      </rPr>
      <t>Reagan-Steiner S</t>
    </r>
    <r>
      <rPr>
        <sz val="10"/>
        <color rgb="FF212121"/>
        <rFont val="Arial"/>
        <family val="2"/>
      </rPr>
      <t>, Castrodale LJ, McLaughlin JB</t>
    </r>
  </si>
  <si>
    <t>Fatal borealpox in an immunosuppressed patient treated with antivirals and vaccinia immunoglobulin - Alaska, 2023</t>
  </si>
  <si>
    <t>ePub ahead of print</t>
  </si>
  <si>
    <t>10.1093/cid/ciae536</t>
  </si>
  <si>
    <t>Greenberg, R. G., Rountree, W., Staat, M. A., Schlaudecker, E. P., Poindexter, B., Trembath, A., Laughon, M., Poniewierski, M. S., Spreng, R. L., Broder, K. R., Wodi, A. P., Museru, O., Anyalechi, E. G., Marquez, P. L., Randolph, E. A., Aleem, S., Kilpatrick, R., Walter, E. B.</t>
  </si>
  <si>
    <t>Apnea after 2-month vaccinations in hospitalized preterm infants: a randomized clinical trial</t>
  </si>
  <si>
    <t>doi:10.1001/jamapediatrics.2024.5311</t>
  </si>
  <si>
    <t>PMC11877207</t>
  </si>
  <si>
    <t>Submitted for Publication</t>
  </si>
  <si>
    <t>Journal of Pediatrics</t>
  </si>
  <si>
    <t>Michael J. Smith, Theresa Harrington, Richard Chung, Marek S. Poniewierski, Rachel L. Spreng, Karen R. Broder, Andrew T. Kroger, Michael M. McNeil, Marquez M, Emmanuel B. Walter</t>
  </si>
  <si>
    <t>Preventing Post-Vaccination Presyncope and Syncope in Adolescents Using Simple, Clinic-based Interventions</t>
  </si>
  <si>
    <t>CDC Yellow Book 2026 Online Update: Health Information for International Travel</t>
  </si>
  <si>
    <t>https://www.cdc.gov/yellow-book/hcp/preparing-international-travelers/vaccination-and-immunoprophylaxis-general-principles.html</t>
  </si>
  <si>
    <t>https://www.cdc.gov/yellow-book/hcp/travelers-with-additional-considerations/immunocompromised-travelers.html</t>
  </si>
  <si>
    <t>Dallas J. Smith, PharmD, Elizabeth Misas, PhD, Jeremy A.W. Gold, MD, Nicole Evert, MPH, Thi Dang, MPH, Emilie Prot, MD; Simone Godwin, DVM; JulieAnna Rivas, MPH; Jessica Pearson, MPH; Lori Koenecke, MPH; Nirma D. Bustamante, MD; Maria Julia Marinissen, PhD; Caitlin Lutfy, MPH; Samantha Williams, MPH, Axel A. Vazquez Deida, PharmD; Katrina M. Byrd, MD; Julian A. Villalba, MD; Sarah Reagan-Steiner, MD, MPH, Lindsay Parnell, PhD; Lalitha Gade, MPharm; Romney M Humphries. Nathan P. Wiederhold, PharmD; Charles Chiu, PhD; Joshua A. Lieberman, PhD; Anastasia P. Litvintseva, PhD; Tom Chiller, MD, MPHTM; Luis Ostrosky-Zeichner, MD, Fungal Meningitis Response Team</t>
  </si>
  <si>
    <t>Fungal meningitis in U.S. Patients who Received Epidural Anesthesia in Matamoros, Mexico</t>
  </si>
  <si>
    <t>DOI: 10.1093/cid/ciaf399</t>
  </si>
  <si>
    <t>https://academic.oup.com/cid/advance-article/doi/10.1093/cid/ciaf399/8210664</t>
  </si>
  <si>
    <t>JAMA</t>
  </si>
  <si>
    <t>Kimberly R. Schildknecht, RN, BSN, MPH; Paula M. Williams, DrPH, MPH; Noah G. Schwartz, MD; Maryam B. Haddad, PhD, RN; Rebekah J. Stewart, PhD, MPH, FNP; Pallavi Annambhotla, DrPh; Sridhar V. Basavaraju, MD; Scott A. Nabity, MD; Chris E. Keh, MD; Helene M. Calvet, MD; Matthew M. Zahn, MD; Romina Beltrán, MPH; Ashley Cortez, RN, BSN; Jeffrey M. Percak, MD; Andrea Lomeli, BS; Lisa L. Goozé, MD; Myron Coloma, BSN, RN, PHN; Tambi Shaw, MPH; Peter J. Davidson, PhD; Shona R. Smith, MPH; Robert P. Dickson, MD; Daniel R. Kaul, MD; Annett R. Gonzalez, APRN, MSN, FNP-C; Gretchen Rodriguez, MPH; Amanda Decimo, RN, MSN, MPH; Audilis Sanchez, MPH, MHSA; Lisa Y. Armitige, MD, PhD; Jessica Stapleton, MPH; Michael Lacassagne, MPH Chris Brown; Crystal Zheng, MD; Juzar Ali, MD; Amy W. Wolfe, MD; Laura R. Young, MPH; Kiley Ariail, MPH; Heidi Behm, RN, MPH; Hannah T. Jordan, MD18; Magdalene Spencer, MSc18; Diana M. Nilsen, MD; RuthAnn Goradia, RN, MSN, MPH; Brenda Montoya Denison, MPH, BSN, RN; Marcos Burgos, MD; Juliet M. Leonard, MSN, FNP-C; Erick Cortes, MPH; Tyler C. Thacker, PhD; Kimberly A. Lehman, DVM; Julian A. Villalba, MD; Julu Bhatnagar, PhD; Sarah Reagan-Steiner, MD, MPH; Sandy P. Althomsons, MA, MHS; Neela D. Goswami, MD, MPH; Lauren S. Cowan, PhD; Angela M. Starks, PhD; Jonathan M. Wortham, MD; and Philip A. LoBue, MD; for the Bone Allograft Tuberculosis 2023 Investigators</t>
  </si>
  <si>
    <t>Second Multistate Outbreak of Tuberculosis Caused by a Bone Allograft Product</t>
  </si>
  <si>
    <t>MedEdPortal</t>
  </si>
  <si>
    <t>Dana J Brimmer , Jin-Mann S Lin, Howard A Selinger, Anindita Issa, Elizabeth A Fall, Elizabeth R Unger</t>
  </si>
  <si>
    <t>Pediatric Myalgic Encephalomyelitis/Chronic Fatigue Syndrome (ME/CFS): A Diagnostic and Communication Case Study for Health Care Providers in Training</t>
  </si>
  <si>
    <t>10.15766/mep_2374-8265.11507</t>
  </si>
  <si>
    <t>PMC11906784</t>
  </si>
  <si>
    <t>https://pmc.ncbi.nlm.nih.gov/articles/PMC11906784/</t>
  </si>
  <si>
    <t>BMC Neurol</t>
  </si>
  <si>
    <t>Elizabeth A Fall, Yang Chen, Jin-Mann S Lin, Anindita Issa, Dana J Brimmer, Lucinda Bateman, Charles W Lapp, Richard N Podell , Benjamin H Natelson, Andreas M Kogelnik, Nancy G Klimas, Daniel L Peterson, Elizabeth R Unger; MCAM Study Group</t>
  </si>
  <si>
    <t>Chronic Overlapping Pain Conditions in people with Myalgic Encephalomyelitis/Chronic Fatigue Syndrome (ME/CFS): a sample from the Multi-site Clinical Assessment of ME/CFS (MCAM) study</t>
  </si>
  <si>
    <t>10.1186/s12883-024-03872-0</t>
  </si>
  <si>
    <t>PMC11488184</t>
  </si>
  <si>
    <t>https://bmcneurol.biomedcentral.com/articles/10.1186/s12883-024-03872-0</t>
  </si>
  <si>
    <t>accepted</t>
  </si>
  <si>
    <t>Smith MJ, Harrington TA, Chung RJ, Rountree W, Poniewierski MS, Spreng RL, Broder KR, Kroger A, McNeil MM, Marquez P, Walter EB</t>
  </si>
  <si>
    <t>Preventing Post-Vaccination Presyncope and Syncope in Adolescents: a Clinic-based Intervention</t>
  </si>
  <si>
    <t>Branch</t>
  </si>
  <si>
    <t>Type of publication</t>
  </si>
  <si>
    <t>OD</t>
  </si>
  <si>
    <t>DOI: https://doi.org/10.1016/j.vaccine.2024.01.053</t>
  </si>
  <si>
    <t>SEB</t>
  </si>
  <si>
    <r>
      <t xml:space="preserve">Webber BJ, Wheaton A, </t>
    </r>
    <r>
      <rPr>
        <b/>
        <sz val="11"/>
        <color rgb="FF000000"/>
        <rFont val="Arial"/>
        <family val="2"/>
      </rPr>
      <t>Lu PJ (NCIRD)</t>
    </r>
    <r>
      <rPr>
        <sz val="11"/>
        <color rgb="FF000000"/>
        <rFont val="Arial"/>
        <family val="2"/>
      </rPr>
      <t>, Whitfield GP</t>
    </r>
  </si>
  <si>
    <r>
      <t>Stephanie A. Irving, MHS</t>
    </r>
    <r>
      <rPr>
        <vertAlign val="superscript"/>
        <sz val="11"/>
        <color rgb="FF000000"/>
        <rFont val="Arial"/>
        <family val="2"/>
      </rPr>
      <t>a</t>
    </r>
    <r>
      <rPr>
        <sz val="11"/>
        <color rgb="FF000000"/>
        <rFont val="Arial"/>
        <family val="2"/>
      </rPr>
      <t>; Holly C. Groom, MPH</t>
    </r>
    <r>
      <rPr>
        <vertAlign val="superscript"/>
        <sz val="11"/>
        <color rgb="FF000000"/>
        <rFont val="Arial"/>
        <family val="2"/>
      </rPr>
      <t>a</t>
    </r>
    <r>
      <rPr>
        <sz val="11"/>
        <color rgb="FF000000"/>
        <rFont val="Arial"/>
        <family val="2"/>
      </rPr>
      <t>; Edward A. Belongia, MD</t>
    </r>
    <r>
      <rPr>
        <vertAlign val="superscript"/>
        <sz val="11"/>
        <color rgb="FF000000"/>
        <rFont val="Arial"/>
        <family val="2"/>
      </rPr>
      <t>b</t>
    </r>
    <r>
      <rPr>
        <sz val="11"/>
        <color rgb="FF000000"/>
        <rFont val="Arial"/>
        <family val="2"/>
      </rPr>
      <t>; Bradley Crane, MS</t>
    </r>
    <r>
      <rPr>
        <vertAlign val="superscript"/>
        <sz val="11"/>
        <color rgb="FF000000"/>
        <rFont val="Arial"/>
        <family val="2"/>
      </rPr>
      <t>a</t>
    </r>
    <r>
      <rPr>
        <sz val="11"/>
        <color rgb="FF000000"/>
        <rFont val="Arial"/>
        <family val="2"/>
      </rPr>
      <t>; Matthew F. Daley, MD</t>
    </r>
    <r>
      <rPr>
        <vertAlign val="superscript"/>
        <sz val="11"/>
        <color rgb="FF000000"/>
        <rFont val="Arial"/>
        <family val="2"/>
      </rPr>
      <t>c</t>
    </r>
    <r>
      <rPr>
        <sz val="11"/>
        <color rgb="FF000000"/>
        <rFont val="Arial"/>
        <family val="2"/>
      </rPr>
      <t>; Kristin Goddard, MPH</t>
    </r>
    <r>
      <rPr>
        <vertAlign val="superscript"/>
        <sz val="11"/>
        <color rgb="FF000000"/>
        <rFont val="Arial"/>
        <family val="2"/>
      </rPr>
      <t>d</t>
    </r>
    <r>
      <rPr>
        <sz val="11"/>
        <color rgb="FF000000"/>
        <rFont val="Arial"/>
        <family val="2"/>
      </rPr>
      <t>; Lisa A. Jackson, MD, MPH</t>
    </r>
    <r>
      <rPr>
        <vertAlign val="superscript"/>
        <sz val="11"/>
        <color rgb="FF000000"/>
        <rFont val="Arial"/>
        <family val="2"/>
      </rPr>
      <t>e</t>
    </r>
    <r>
      <rPr>
        <sz val="11"/>
        <color rgb="FF000000"/>
        <rFont val="Arial"/>
        <family val="2"/>
      </rPr>
      <t>; Tia L. Kauffman, MPH</t>
    </r>
    <r>
      <rPr>
        <vertAlign val="superscript"/>
        <sz val="11"/>
        <color rgb="FF000000"/>
        <rFont val="Arial"/>
        <family val="2"/>
      </rPr>
      <t>a</t>
    </r>
    <r>
      <rPr>
        <sz val="11"/>
        <color rgb="FF000000"/>
        <rFont val="Arial"/>
        <family val="2"/>
      </rPr>
      <t>; Tat’Yana A. Kenigsberg, MPH</t>
    </r>
    <r>
      <rPr>
        <vertAlign val="superscript"/>
        <sz val="11"/>
        <color rgb="FF000000"/>
        <rFont val="Arial"/>
        <family val="2"/>
      </rPr>
      <t>f</t>
    </r>
    <r>
      <rPr>
        <sz val="11"/>
        <color rgb="FF000000"/>
        <rFont val="Arial"/>
        <family val="2"/>
      </rPr>
      <t>; Leslie Kuckler, MPH</t>
    </r>
    <r>
      <rPr>
        <vertAlign val="superscript"/>
        <sz val="11"/>
        <color rgb="FF000000"/>
        <rFont val="Arial"/>
        <family val="2"/>
      </rPr>
      <t>g</t>
    </r>
    <r>
      <rPr>
        <sz val="11"/>
        <color rgb="FF000000"/>
        <rFont val="Arial"/>
        <family val="2"/>
      </rPr>
      <t>; Allison L. Naleway, PhD</t>
    </r>
    <r>
      <rPr>
        <vertAlign val="superscript"/>
        <sz val="11"/>
        <color rgb="FF000000"/>
        <rFont val="Arial"/>
        <family val="2"/>
      </rPr>
      <t>a</t>
    </r>
    <r>
      <rPr>
        <sz val="11"/>
        <color rgb="FF000000"/>
        <rFont val="Arial"/>
        <family val="2"/>
      </rPr>
      <t>; Suchita A. Patel, DO, MPH</t>
    </r>
    <r>
      <rPr>
        <vertAlign val="superscript"/>
        <sz val="11"/>
        <color rgb="FF000000"/>
        <rFont val="Arial"/>
        <family val="2"/>
      </rPr>
      <t>h</t>
    </r>
    <r>
      <rPr>
        <sz val="11"/>
        <color rgb="FF000000"/>
        <rFont val="Arial"/>
        <family val="2"/>
      </rPr>
      <t>; Hung Fu Tseng, PhD, MPH</t>
    </r>
    <r>
      <rPr>
        <vertAlign val="superscript"/>
        <sz val="11"/>
        <color rgb="FF000000"/>
        <rFont val="Arial"/>
        <family val="2"/>
      </rPr>
      <t>i</t>
    </r>
    <r>
      <rPr>
        <sz val="11"/>
        <color rgb="FF000000"/>
        <rFont val="Arial"/>
        <family val="2"/>
      </rPr>
      <t>; Josh T.B. Williams, MD</t>
    </r>
    <r>
      <rPr>
        <vertAlign val="superscript"/>
        <sz val="11"/>
        <color rgb="FF000000"/>
        <rFont val="Arial"/>
        <family val="2"/>
      </rPr>
      <t>j</t>
    </r>
    <r>
      <rPr>
        <sz val="11"/>
        <color rgb="FF000000"/>
        <rFont val="Arial"/>
        <family val="2"/>
      </rPr>
      <t>; Eric S. Weintraub, MPH</t>
    </r>
    <r>
      <rPr>
        <vertAlign val="superscript"/>
        <sz val="11"/>
        <color rgb="FF000000"/>
        <rFont val="Arial"/>
        <family val="2"/>
      </rPr>
      <t>f</t>
    </r>
  </si>
  <si>
    <r>
      <t>Carla L. Black, PhD</t>
    </r>
    <r>
      <rPr>
        <vertAlign val="superscript"/>
        <sz val="11"/>
        <color rgb="FF000000"/>
        <rFont val="Arial"/>
        <family val="2"/>
      </rPr>
      <t>1</t>
    </r>
    <r>
      <rPr>
        <sz val="11"/>
        <color rgb="FF000000"/>
        <rFont val="Arial"/>
        <family val="2"/>
      </rPr>
      <t>; Jennifer L. Kriss, PhD</t>
    </r>
    <r>
      <rPr>
        <vertAlign val="superscript"/>
        <sz val="11"/>
        <color rgb="FF000000"/>
        <rFont val="Arial"/>
        <family val="2"/>
      </rPr>
      <t>1</t>
    </r>
    <r>
      <rPr>
        <sz val="11"/>
        <color rgb="FF000000"/>
        <rFont val="Arial"/>
        <family val="2"/>
      </rPr>
      <t>; Hilda Razzaghi, PhD</t>
    </r>
    <r>
      <rPr>
        <vertAlign val="superscript"/>
        <sz val="11"/>
        <color rgb="FF000000"/>
        <rFont val="Arial"/>
        <family val="2"/>
      </rPr>
      <t>1</t>
    </r>
    <r>
      <rPr>
        <sz val="11"/>
        <color rgb="FF000000"/>
        <rFont val="Arial"/>
        <family val="2"/>
      </rPr>
      <t>; Suchita A. Patel, DO</t>
    </r>
    <r>
      <rPr>
        <vertAlign val="superscript"/>
        <sz val="11"/>
        <color rgb="FF000000"/>
        <rFont val="Arial"/>
        <family val="2"/>
      </rPr>
      <t>1</t>
    </r>
    <r>
      <rPr>
        <sz val="11"/>
        <color rgb="FF000000"/>
        <rFont val="Arial"/>
        <family val="2"/>
      </rPr>
      <t>; Tammy A. Santibanez, PhD</t>
    </r>
    <r>
      <rPr>
        <vertAlign val="superscript"/>
        <sz val="11"/>
        <color rgb="FF000000"/>
        <rFont val="Arial"/>
        <family val="2"/>
      </rPr>
      <t>1</t>
    </r>
    <r>
      <rPr>
        <sz val="11"/>
        <color rgb="FF000000"/>
        <rFont val="Arial"/>
        <family val="2"/>
      </rPr>
      <t>; Mehreen Meghani, MPH</t>
    </r>
    <r>
      <rPr>
        <vertAlign val="superscript"/>
        <sz val="11"/>
        <color rgb="FF000000"/>
        <rFont val="Arial"/>
        <family val="2"/>
      </rPr>
      <t>1</t>
    </r>
    <r>
      <rPr>
        <sz val="11"/>
        <color rgb="FF000000"/>
        <rFont val="Arial"/>
        <family val="2"/>
      </rPr>
      <t>; Ashley Tippins, MPH</t>
    </r>
    <r>
      <rPr>
        <vertAlign val="superscript"/>
        <sz val="11"/>
        <color rgb="FF000000"/>
        <rFont val="Arial"/>
        <family val="2"/>
      </rPr>
      <t>1</t>
    </r>
    <r>
      <rPr>
        <sz val="11"/>
        <color rgb="FF000000"/>
        <rFont val="Arial"/>
        <family val="2"/>
      </rPr>
      <t>; Shannon Stokley, DrPH</t>
    </r>
    <r>
      <rPr>
        <vertAlign val="superscript"/>
        <sz val="11"/>
        <color rgb="FF000000"/>
        <rFont val="Arial"/>
        <family val="2"/>
      </rPr>
      <t>1</t>
    </r>
    <r>
      <rPr>
        <sz val="11"/>
        <color rgb="FF000000"/>
        <rFont val="Arial"/>
        <family val="2"/>
      </rPr>
      <t>; Kevin Chatham-Stephens, MD</t>
    </r>
    <r>
      <rPr>
        <vertAlign val="superscript"/>
        <sz val="11"/>
        <color rgb="FF000000"/>
        <rFont val="Arial"/>
        <family val="2"/>
      </rPr>
      <t>2</t>
    </r>
    <r>
      <rPr>
        <sz val="11"/>
        <color rgb="FF000000"/>
        <rFont val="Arial"/>
        <family val="2"/>
      </rPr>
      <t>; Nicole F. Dowling, PhD</t>
    </r>
    <r>
      <rPr>
        <vertAlign val="superscript"/>
        <sz val="11"/>
        <color rgb="FF000000"/>
        <rFont val="Arial"/>
        <family val="2"/>
      </rPr>
      <t>1</t>
    </r>
    <r>
      <rPr>
        <sz val="11"/>
        <color rgb="FF000000"/>
        <rFont val="Arial"/>
        <family val="2"/>
      </rPr>
      <t>; Georgina Peacock, MD</t>
    </r>
    <r>
      <rPr>
        <vertAlign val="superscript"/>
        <sz val="11"/>
        <color rgb="FF000000"/>
        <rFont val="Arial"/>
        <family val="2"/>
      </rPr>
      <t>1</t>
    </r>
    <r>
      <rPr>
        <sz val="11"/>
        <color rgb="FF000000"/>
        <rFont val="Arial"/>
        <family val="2"/>
      </rPr>
      <t>; and James A. Singleton, PhD</t>
    </r>
    <r>
      <rPr>
        <vertAlign val="superscript"/>
        <sz val="11"/>
        <color rgb="FF000000"/>
        <rFont val="Arial"/>
        <family val="2"/>
      </rPr>
      <t>1</t>
    </r>
    <r>
      <rPr>
        <sz val="11"/>
        <color rgb="FF000000"/>
        <rFont val="Arial"/>
        <family val="2"/>
      </rPr>
      <t xml:space="preserve">  </t>
    </r>
  </si>
  <si>
    <r>
      <t xml:space="preserve"> Matthew F. Daley, Liza M. Reifler, Jo Ann Shoup, Jason M. Glanz, Bruno J. Lewin, Nicola P. Klein, Elyse O. Kharbanda, Huong Q. McLean, Simon J. Hambidge, Jennifer C. Nelson, Allison L. Naleway, Eric S. Weintraub, Michael M. McNeil, </t>
    </r>
    <r>
      <rPr>
        <b/>
        <sz val="11"/>
        <color rgb="FF000000"/>
        <rFont val="Arial"/>
        <family val="2"/>
      </rPr>
      <t>Hilda Razzaghi, James A. Singleton</t>
    </r>
  </si>
  <si>
    <r>
      <t xml:space="preserve">Olufunto A. Olusanya; Nina B. Masters; Fan Zhang; David E. Sugerman; </t>
    </r>
    <r>
      <rPr>
        <b/>
        <sz val="11"/>
        <color rgb="FF000000"/>
        <rFont val="Arial"/>
        <family val="2"/>
      </rPr>
      <t>Rosalind J. Carter</t>
    </r>
    <r>
      <rPr>
        <sz val="11"/>
        <color rgb="FF000000"/>
        <rFont val="Arial"/>
        <family val="2"/>
      </rPr>
      <t>; Debora Weiss; James A. Singleton</t>
    </r>
  </si>
  <si>
    <r>
      <t xml:space="preserve"> </t>
    </r>
    <r>
      <rPr>
        <sz val="11"/>
        <color rgb="FF000000"/>
        <rFont val="Arial"/>
        <family val="2"/>
      </rPr>
      <t>Hilda Razzaghi (NCIRD); Emma Garacci (NCIRD); Katherine E. Kahn (NCIRD); Megan C. Lindley (NCIRD); Jefferson M. Jone (NCIRD); Shannon Stokley (NCIRD); Kayla Calhoun (NCIRD) ; Carla L. Black, (NCIRD)</t>
    </r>
  </si>
  <si>
    <t>Holly A. Hill, MD, PhD1; David Yankey, PhD1; Laurie D. Elam-Evans, PhD1; Yi Mu, PhD1; Michael Chen, PhD1; Georgina Peacock, MD, MPH1; James A. Singleton, PhD</t>
  </si>
  <si>
    <r>
      <t>Yuping Tsai, PhD</t>
    </r>
    <r>
      <rPr>
        <vertAlign val="superscript"/>
        <sz val="11"/>
        <color rgb="FF000000"/>
        <rFont val="Arial"/>
        <family val="2"/>
      </rPr>
      <t>1</t>
    </r>
    <r>
      <rPr>
        <sz val="11"/>
        <color rgb="FF000000"/>
        <rFont val="Arial"/>
        <family val="2"/>
      </rPr>
      <t>; James A. Singleton, PhD</t>
    </r>
    <r>
      <rPr>
        <vertAlign val="superscript"/>
        <sz val="11"/>
        <color rgb="FF000000"/>
        <rFont val="Arial"/>
        <family val="2"/>
      </rPr>
      <t>1</t>
    </r>
    <r>
      <rPr>
        <sz val="11"/>
        <color rgb="FF000000"/>
        <rFont val="Arial"/>
        <family val="2"/>
      </rPr>
      <t>; Jessica Leung, MPH</t>
    </r>
    <r>
      <rPr>
        <vertAlign val="superscript"/>
        <sz val="11"/>
        <color rgb="FF000000"/>
        <rFont val="Arial"/>
        <family val="2"/>
      </rPr>
      <t>2</t>
    </r>
    <r>
      <rPr>
        <sz val="11"/>
        <color rgb="FF000000"/>
        <rFont val="Arial"/>
        <family val="2"/>
      </rPr>
      <t>; Fangjun Zhou, PhD1; Tara C. Anderson, DVM, PhD</t>
    </r>
    <r>
      <rPr>
        <vertAlign val="superscript"/>
        <sz val="11"/>
        <color rgb="FF000000"/>
        <rFont val="Arial"/>
        <family val="2"/>
      </rPr>
      <t>2</t>
    </r>
    <r>
      <rPr>
        <sz val="11"/>
        <color rgb="FF000000"/>
        <rFont val="Arial"/>
        <family val="2"/>
      </rPr>
      <t>  </t>
    </r>
  </si>
  <si>
    <t>Social Science and Medicine</t>
  </si>
  <si>
    <t>submitted 4/7/2025</t>
  </si>
  <si>
    <t>Estimating historical impacts of vaccination against influenza B/Yamagata in the United States to inform possible risks of re-emergence in the absence of vaccination</t>
  </si>
  <si>
    <t>PARENTAL REASONS FOR NON-RECEIPT OF INFLUENZA VACCINATION AMONG CHILDREN 6 MONTHS–17 YEARS AND CHANGES OVER TIME, 2015–2024</t>
  </si>
  <si>
    <t>JAMA Pediatrics (research letter) - rejected6/9/25; submitted to Pediatrics 7/8/2025</t>
  </si>
  <si>
    <r>
      <t>Cassandra Pingali, MPH, MS</t>
    </r>
    <r>
      <rPr>
        <vertAlign val="superscript"/>
        <sz val="11"/>
        <color rgb="FF000000"/>
        <rFont val="Arial"/>
        <family val="2"/>
      </rPr>
      <t>1</t>
    </r>
    <r>
      <rPr>
        <sz val="11"/>
        <color rgb="FF000000"/>
        <rFont val="Arial"/>
        <family val="2"/>
      </rPr>
      <t xml:space="preserve">; David Yankey, PhD </t>
    </r>
    <r>
      <rPr>
        <vertAlign val="superscript"/>
        <sz val="11"/>
        <color rgb="FF000000"/>
        <rFont val="Arial"/>
        <family val="2"/>
      </rPr>
      <t>1</t>
    </r>
    <r>
      <rPr>
        <sz val="11"/>
        <color rgb="FF000000"/>
        <rFont val="Arial"/>
        <family val="2"/>
      </rPr>
      <t>; Michael Chen, PhD</t>
    </r>
    <r>
      <rPr>
        <vertAlign val="superscript"/>
        <sz val="11"/>
        <color rgb="FF000000"/>
        <rFont val="Arial"/>
        <family val="2"/>
      </rPr>
      <t>1</t>
    </r>
    <r>
      <rPr>
        <sz val="11"/>
        <color rgb="FF000000"/>
        <rFont val="Arial"/>
        <family val="2"/>
      </rPr>
      <t>; Laurie D. Elam-Evans, PhD</t>
    </r>
    <r>
      <rPr>
        <vertAlign val="superscript"/>
        <sz val="11"/>
        <color rgb="FF000000"/>
        <rFont val="Arial"/>
        <family val="2"/>
      </rPr>
      <t>1</t>
    </r>
    <r>
      <rPr>
        <sz val="11"/>
        <color rgb="FF000000"/>
        <rFont val="Arial"/>
        <family val="2"/>
      </rPr>
      <t>; Lauri E. Markowitz, MD</t>
    </r>
    <r>
      <rPr>
        <vertAlign val="superscript"/>
        <sz val="11"/>
        <color rgb="FF000000"/>
        <rFont val="Arial"/>
        <family val="2"/>
      </rPr>
      <t>2</t>
    </r>
    <r>
      <rPr>
        <sz val="11"/>
        <color rgb="FF000000"/>
        <rFont val="Arial"/>
        <family val="2"/>
      </rPr>
      <t>, Carla L. DeSisto, PhD</t>
    </r>
    <r>
      <rPr>
        <vertAlign val="superscript"/>
        <sz val="11"/>
        <color rgb="FF000000"/>
        <rFont val="Arial"/>
        <family val="2"/>
      </rPr>
      <t>2</t>
    </r>
    <r>
      <rPr>
        <sz val="11"/>
        <color rgb="FF000000"/>
        <rFont val="Arial"/>
        <family val="2"/>
      </rPr>
      <t>, Ruth Stefanos, MD</t>
    </r>
    <r>
      <rPr>
        <vertAlign val="superscript"/>
        <sz val="11"/>
        <color rgb="FF000000"/>
        <rFont val="Arial"/>
        <family val="2"/>
      </rPr>
      <t>2</t>
    </r>
    <r>
      <rPr>
        <sz val="11"/>
        <color rgb="FF000000"/>
        <rFont val="Arial"/>
        <family val="2"/>
      </rPr>
      <t>, and James A. Singleton, PhD</t>
    </r>
    <r>
      <rPr>
        <vertAlign val="superscript"/>
        <sz val="11"/>
        <color rgb="FF000000"/>
        <rFont val="Arial"/>
        <family val="2"/>
      </rPr>
      <t>1</t>
    </r>
    <r>
      <rPr>
        <sz val="11"/>
        <color rgb="FF000000"/>
        <rFont val="Arial"/>
        <family val="2"/>
      </rPr>
      <t>.  </t>
    </r>
  </si>
  <si>
    <t>Pediatrics rejected 8/4/2025</t>
  </si>
  <si>
    <t>Emerging Infectious Diseases</t>
  </si>
  <si>
    <t>Submitted (9/29/2025)</t>
  </si>
  <si>
    <t>IDAB</t>
  </si>
  <si>
    <t>ARISE</t>
  </si>
  <si>
    <t>Alyssa Jeffers, Nicole Kuiper, Aparna Ramakrishnan, Hepsi Swarna, Kenneth Goodman, Pooja Gandhi</t>
  </si>
  <si>
    <t>Understanding the Power of Trust: Community Engagement Strategies for Building Vaccine Confidence and Demand – Lessons from Prevention Research Centers</t>
  </si>
  <si>
    <t xml:space="preserve">Abstract accepted on 9/12 for the 16th Annual Conference of the Science of Dissemination and Implementation in Health </t>
  </si>
  <si>
    <r>
      <t>Neetu Abad, Kimberly E. Bonner, Jessica Kolis, Kathryn A. Brookmeyer, Chris Voegeli (NCIRD), </t>
    </r>
    <r>
      <rPr>
        <b/>
        <sz val="11"/>
        <color rgb="FF000000"/>
        <rFont val="Arial"/>
        <family val="2"/>
      </rPr>
      <t>James T. Lee</t>
    </r>
    <r>
      <rPr>
        <sz val="11"/>
        <color rgb="FF000000"/>
        <rFont val="Arial"/>
        <family val="2"/>
      </rPr>
      <t xml:space="preserve"> (NCIRD), James A. Singleton (NCIRD), Richard Quartarone, Carla Black (NCIRD), Daiva Yee, Aparna Ramakrishnan, Leslie Rodriguez, Kelly Clay, Sarah Hummer, Kathleen Holmes (NCIRD), Brian J. Manns, John Donovan, Tiffany Humbert-Rico (NCIRD), Stephen A. Flores, Stephanie Griswold…Amanda Cohn</t>
    </r>
  </si>
  <si>
    <r>
      <rPr>
        <b/>
        <sz val="11"/>
        <color rgb="FF000000"/>
        <rFont val="Arial"/>
        <family val="2"/>
      </rPr>
      <t>Meg McCarron</t>
    </r>
    <r>
      <rPr>
        <sz val="11"/>
        <color rgb="FF000000"/>
        <rFont val="Arial"/>
        <family val="2"/>
      </rPr>
      <t>, Perrine Marcenac, Tat S. Yau, Kathryn E. Lafond, Malembe S Ebama, Lindsey M. Duca, Gayane Sahakyan,Silvia Bino, Daouda Coulibaly, Gideon Emukule, Vieng Khanthamaly, Imad Cherkaoui, Afif Ben Salah,  Abdulakhad Safarov, Dinagul Otorbaeva, Kristina Stravidis, Ledor S. Igboh, Eduardo Azziz-Baumgartner,Joseph S. Bresee</t>
    </r>
  </si>
  <si>
    <r>
      <rPr>
        <b/>
        <sz val="11"/>
        <color rgb="FF000000"/>
        <rFont val="Arial"/>
        <family val="2"/>
      </rPr>
      <t>McCarron M,</t>
    </r>
    <r>
      <rPr>
        <sz val="11"/>
        <color rgb="FF000000"/>
        <rFont val="Arial"/>
        <family val="2"/>
      </rPr>
      <t xml:space="preserve"> Yau TS, Griffin C, Marcenac P, Ebama MS, Lafond KE, Igboh LS, Duca LM, Bino S, Bettaieb J, Dhaouadi S, Sahakyan G, Cherkaoui I, Alj L, Coulibaly D, Lutwama JJ, Douba A, N'Gattia A, Khanthamaly V, Tengbriacheu C, Patthammavong C, Lambach P, Otorbaeva D, Azziz-Baumgartner E, Bresee JS</t>
    </r>
  </si>
  <si>
    <r>
      <t xml:space="preserve">Coulibaly D, Douba A, N'Guessan K, N'Gattia AK, Kadjo H, Ebama MS, </t>
    </r>
    <r>
      <rPr>
        <b/>
        <sz val="11"/>
        <color rgb="FF000000"/>
        <rFont val="Arial"/>
        <family val="2"/>
      </rPr>
      <t>McCarron M</t>
    </r>
    <r>
      <rPr>
        <sz val="11"/>
        <color rgb="FF000000"/>
        <rFont val="Arial"/>
        <family val="2"/>
      </rPr>
      <t>, Bresee J</t>
    </r>
  </si>
  <si>
    <r>
      <t xml:space="preserve">Gobin S, Sahakyan G, Appiah MK, Manukyan A, Palayan K, Ebama MS, Vayan A, </t>
    </r>
    <r>
      <rPr>
        <b/>
        <sz val="11"/>
        <color rgb="FF000000"/>
        <rFont val="Arial"/>
        <family val="2"/>
      </rPr>
      <t>McCarron M,</t>
    </r>
    <r>
      <rPr>
        <sz val="11"/>
        <color rgb="FF000000"/>
        <rFont val="Arial"/>
        <family val="2"/>
      </rPr>
      <t xml:space="preserve"> Bresee J</t>
    </r>
  </si>
  <si>
    <t>Ponesai Nyika, David Yankey, Laurie D. Elam-Evans, S. Meyer, C. Pingali, Shannon Stokley, James A. Singleton</t>
  </si>
  <si>
    <t>Human papillomavirus vaccination coverage among adolescent boys and girls in the United States: A birth year cohort analysis of the National Immunization Survey-Teen, 2016–2022</t>
  </si>
  <si>
    <t>Duplicate entry on SEB tab</t>
  </si>
  <si>
    <t>Miwako Kobayashi; Andrew J. Leidner; Ryan Gierke; Wei Xing; Emma Accorsi; Pedro Moro; Mini Kamboj; George A. Kuchel; Robert Schechter; Jamie Loehr; Adam L. Cohen</t>
  </si>
  <si>
    <t>Expanded Recommendations for Use of Pneumococcal Conjugate Vaccines Among Adults Aged ≥50 Years: Recommendations of the Advisory Committee on Immunization Practices — United States, 2024</t>
  </si>
  <si>
    <r>
      <t>Amimah F. Asif,  Megan C. Lindley,  Allison M. Fisher, Alonso Espino, Lindsay Gutekunst, Zachary Hebert, Lisa Kietzer,</t>
    </r>
    <r>
      <rPr>
        <vertAlign val="superscript"/>
        <sz val="11"/>
        <color rgb="FF000000"/>
        <rFont val="Arial"/>
        <family val="2"/>
      </rPr>
      <t xml:space="preserve"> </t>
    </r>
    <r>
      <rPr>
        <sz val="11"/>
        <color rgb="FF000000"/>
        <rFont val="Arial"/>
        <family val="2"/>
      </rPr>
      <t>Leah Shapardanis, Mark Richards, Tara C. Jatlaoui</t>
    </r>
  </si>
  <si>
    <t>Courtney Gidengil, Andrew Parker, Amber Gedlinske, Jefferson M. Jones, Jamison Pike, Katherine E. Fleming-Dutra, Mila M. Prill, Patricia Wodi, Megan C. Lindley, Aaron Scherer</t>
  </si>
  <si>
    <t>HVI</t>
  </si>
  <si>
    <t>Human papillomavirus vaccination at age 9 or 10 years to increase coverage – a narrative review of the literature, United States 2014–2024</t>
  </si>
  <si>
    <t>DOI: 10.1080/21645515.2025.2480870</t>
  </si>
  <si>
    <t>Health Affairs</t>
  </si>
  <si>
    <t>Jamison Pike, Lyudmyla Kompaniyets, Laura Hurley, Rachel Everhart, Gabrielle Miller, Sharon Saydah, Kristin Breslin, Megan C. Lindley</t>
  </si>
  <si>
    <r>
      <rPr>
        <sz val="11"/>
        <color rgb="FF000000"/>
        <rFont val="Arial"/>
        <family val="2"/>
      </rPr>
      <t>Chansay Patthammavong,</t>
    </r>
    <r>
      <rPr>
        <sz val="11"/>
        <color rgb="FF1F1F1F"/>
        <rFont val="Arial"/>
        <family val="2"/>
      </rPr>
      <t> Natalie Wodniak, Kongxay Phounphenghack, Chankham Tengbriacheu, Bandith Soumphonphakdy, Viengkhan Phixay, Chansavang Vongkhamsao, Viengphone Khanthamaly, Jaymin C. Patel, Martha P. Montgomery, Margaret McCarron, William W. Davis, Julie Carlton, Eva S. Bazant, Ann C. Moen, Phonethipsavanh Nouanthong</t>
    </r>
  </si>
  <si>
    <t>AJPH</t>
  </si>
  <si>
    <r>
      <t>Matthew Z. Dudley, Amimah F. Asif, Ebony S. Thomas, Megan C. Lindley, Kerry Olmsted, Wallace Wennerberg</t>
    </r>
    <r>
      <rPr>
        <vertAlign val="superscript"/>
        <sz val="11"/>
        <color rgb="FF000000"/>
        <rFont val="Arial"/>
        <family val="2"/>
      </rPr>
      <t xml:space="preserve">, </t>
    </r>
    <r>
      <rPr>
        <sz val="11"/>
        <color rgb="FF000000"/>
        <rFont val="Arial"/>
        <family val="2"/>
      </rPr>
      <t>Elisa Cink</t>
    </r>
    <r>
      <rPr>
        <vertAlign val="superscript"/>
        <sz val="11"/>
        <color rgb="FF000000"/>
        <rFont val="Arial"/>
        <family val="2"/>
      </rPr>
      <t xml:space="preserve">, </t>
    </r>
    <r>
      <rPr>
        <sz val="11"/>
        <color rgb="FF000000"/>
        <rFont val="Arial"/>
        <family val="2"/>
      </rPr>
      <t>Michelle Goryn,Walter A. Orenstein, Daniel A. Salmon</t>
    </r>
  </si>
  <si>
    <r>
      <t xml:space="preserve">Agam K. Rao,  Faisal S. Minhaj, </t>
    </r>
    <r>
      <rPr>
        <b/>
        <sz val="11"/>
        <color rgb="FF000000"/>
        <rFont val="Arial"/>
        <family val="2"/>
      </rPr>
      <t>Rosalind J. Carter</t>
    </r>
    <r>
      <rPr>
        <sz val="11"/>
        <color rgb="FF000000"/>
        <rFont val="Arial"/>
        <family val="2"/>
      </rPr>
      <t>, Jonathan Duffy, Panayampalli S. Satheshkumar, Kevin P. Delaney, Laura A. S. Quilter, Rachel E. Kachur,, Catherine McLean, Danielle L. Moulia, David T. Kuhar, Marie A. de Perio,  Ian H. Spicknall, Beth P. Bell,  Pablo J. Sánchez, Christina L. Hutson, Amanda C. Cohn</t>
    </r>
  </si>
  <si>
    <t>Angela M. Rose, Kerra R. Mercon, Acham Gebremariam, Jamison Pike, Lisa A. Prosser</t>
  </si>
  <si>
    <t>Hannah G. Rosenblum, Charles M. Carpenter, Tina Trosclair, RajReni Kaul, Bo-Hyun Cho, Miwako Kobayashi, Andrew J. Leidner </t>
  </si>
  <si>
    <t>Frontiers in Health Services</t>
  </si>
  <si>
    <t xml:space="preserve">Weaver SS, Carry M, Bertolli J, Godino J, Struminger B, Taren D, Scott JD, Sharp SP, Samaniego J, Bean DR, Issa A, Lin J-MS, Unger ER and Ramers CB </t>
  </si>
  <si>
    <t xml:space="preserve">Assessing the influence of lived-experience experts on healthcare providers in a virtual community of practice: a qualitative study. </t>
  </si>
  <si>
    <t>DOI: https://doi.org/10.3389/frhs.2025.1562651</t>
  </si>
  <si>
    <t>PMC12245761</t>
  </si>
  <si>
    <t>https://www.frontiersin.org/journals/health-services/articles/10.3389/frhs.2025.1562651/full</t>
  </si>
  <si>
    <r>
      <rPr>
        <b/>
        <sz val="11"/>
        <color theme="1"/>
        <rFont val="Arial"/>
        <family val="2"/>
      </rPr>
      <t>Sofia Bletnitsky, Andrew J Leidner</t>
    </r>
    <r>
      <rPr>
        <sz val="11"/>
        <color theme="1"/>
        <rFont val="Arial"/>
        <family val="2"/>
      </rPr>
      <t xml:space="preserve">, Miwako Kobayashi, </t>
    </r>
    <r>
      <rPr>
        <b/>
        <sz val="11"/>
        <color theme="1"/>
        <rFont val="Arial"/>
        <family val="2"/>
      </rPr>
      <t>Bo Hyun-Cho</t>
    </r>
    <r>
      <rPr>
        <sz val="11"/>
        <color theme="1"/>
        <rFont val="Arial"/>
        <family val="2"/>
      </rPr>
      <t>, Charles Stoecker</t>
    </r>
  </si>
  <si>
    <t>Not sure</t>
  </si>
  <si>
    <t>Published online 5/22/2026</t>
  </si>
  <si>
    <r>
      <t xml:space="preserve">Avnika B Amin, Jennifer P Collins, </t>
    </r>
    <r>
      <rPr>
        <b/>
        <sz val="11"/>
        <color rgb="FF000000"/>
        <rFont val="Arial"/>
        <family val="2"/>
      </rPr>
      <t>Xiaoyu Dong, Andrew Leidner</t>
    </r>
    <r>
      <rPr>
        <sz val="11"/>
        <color rgb="FF000000"/>
        <rFont val="Arial"/>
        <family val="2"/>
      </rPr>
      <t>, Jamie Loehr, Charlotte A Moser, Lucy A McNamara, Sarah Schillie</t>
    </r>
  </si>
  <si>
    <t>Diepreye Ayabina, CHarles Stoecker, Bo-Hyun Cho, Namrata Prasad, Laura M King, Andrew J Leidner, Miwako Kobayashi</t>
  </si>
  <si>
    <t>Public Health IMpact and Cost-effectiveness of 20-valent Pneumococcal Conjugate Vaccine Use among Children in the United States</t>
  </si>
  <si>
    <t>Margaret Taylor Danner, Caroline A Schrodt, Alexandra Tuttle, Victoria Shelus, Brendan Sullivan, Ankhi Dutta, Claire Bocchini, Denver Niles</t>
  </si>
  <si>
    <t>FSB</t>
  </si>
  <si>
    <r>
      <t xml:space="preserve">Jennifer L Farrar, Nathaniel M Lewis, Kennedy Houck, Michelle Canning, Amy Fothergill, Amanda B Payne, Adam L Cohen, </t>
    </r>
    <r>
      <rPr>
        <b/>
        <sz val="11"/>
        <color rgb="FF000000"/>
        <rFont val="Arial"/>
        <family val="2"/>
      </rPr>
      <t>Josh Vance</t>
    </r>
    <r>
      <rPr>
        <sz val="11"/>
        <color rgb="FF000000"/>
        <rFont val="Arial"/>
        <family val="2"/>
      </rPr>
      <t>, Bridget Brassil, Erin Youngkin, Bailey Glenn, Anil Mangla, Nikki Kupferman, Katharine Saunders, Cristina Meza, Dawn Nims, Susan Soliva, Brandon Blouse, Tiffany Henderson, Emily Banerjee, Brooklyn White, Rachael Birn, Anna M Stadelman, Meaghan Abrego, Meagan McLafferty, Michael G Eberhart, Michael Pietrowski, Sandra Miranda De León, Emma Creegan, Abdoulaye Diedhiou, Caleb Wiedeman, Jade Murray-Thompson, Elizabeth McCarty, Jessica Marcinkevage, Anna Kocharian, Elizabeth A Torrone, Logan C Ray, Daniel C Payne; Mpox Cases in Vaccinated Persons Team</t>
    </r>
  </si>
  <si>
    <r>
      <rPr>
        <sz val="11"/>
        <color rgb="FF000000"/>
        <rFont val="Arial"/>
        <family val="2"/>
      </rPr>
      <t xml:space="preserve">Tarek Salih*, </t>
    </r>
    <r>
      <rPr>
        <b/>
        <sz val="11"/>
        <color rgb="FF000000"/>
        <rFont val="Arial"/>
        <family val="2"/>
      </rPr>
      <t>Josh Vance*,</t>
    </r>
    <r>
      <rPr>
        <sz val="11"/>
        <color rgb="FF000000"/>
        <rFont val="Arial"/>
        <family val="2"/>
      </rPr>
      <t xml:space="preserve"> Joshua Quint, Brenda Meza, Louise McNitt, Webster U. Lincoln, Robert Schechter</t>
    </r>
  </si>
  <si>
    <r>
      <t xml:space="preserve">Samuel Schildhauer, Kayla Saadeh, </t>
    </r>
    <r>
      <rPr>
        <b/>
        <sz val="11"/>
        <color rgb="FF000000"/>
        <rFont val="Arial"/>
        <family val="2"/>
      </rPr>
      <t>Josh Vance</t>
    </r>
    <r>
      <rPr>
        <sz val="11"/>
        <color rgb="FF000000"/>
        <rFont val="Arial"/>
        <family val="2"/>
      </rPr>
      <t>, Joshua Quint, Tarek Salih, Timothy Lo,  Awa Keinde, Edwin Chojolan, Esther Gotlieb, Marisa Ramos,  Eric Chapman, Philip Peters, Jessica Watson, Kelly A. Johnson, Eric C. Tang, Kathleen Jacobson, Robert Snyder</t>
    </r>
  </si>
  <si>
    <t>IOSB</t>
  </si>
  <si>
    <t>VSAB</t>
  </si>
  <si>
    <t>HECB</t>
  </si>
  <si>
    <t xml:space="preserve">DUPLICATE </t>
  </si>
  <si>
    <t> PMC8136067</t>
  </si>
  <si>
    <t xml:space="preserve">Hall E, Odafe S, Madden J, Schillie S. </t>
  </si>
  <si>
    <t xml:space="preserve"> Qualitative Conceptual Content Analysis of COVID-19 Vaccine Administration Error Inquiries</t>
  </si>
  <si>
    <t> 36851132</t>
  </si>
  <si>
    <t xml:space="preserve"> PMC9961408</t>
  </si>
  <si>
    <r>
      <t xml:space="preserve">Beeson AM, Rich SN, Russo ME, Bhatnagar J, Kumar RN, Ritter JM, Annambhotla P, Takeda MR, Kuhn KF, Pillai P, DeLeon-Carnes M, Scobell R, Ekambaram M, Finkel R, </t>
    </r>
    <r>
      <rPr>
        <b/>
        <sz val="11"/>
        <color rgb="FF212121"/>
        <rFont val="Arial"/>
        <family val="2"/>
      </rPr>
      <t>Reagan-Steiner S</t>
    </r>
    <r>
      <rPr>
        <sz val="11"/>
        <color rgb="FF212121"/>
        <rFont val="Arial"/>
        <family val="2"/>
      </rPr>
      <t>, Martines RB, Satoskar RS, Vranic GM, Mohammed R, Rivera GE, Cooper K, Abdelal H, Couturier MR, Bradley BT, Hinckley AF, Koehler JE, Mead PS, Kuehnert MJ, Ackelsberg J, Basavaraju SV, Marx GE</t>
    </r>
  </si>
  <si>
    <t> PMC11616653</t>
  </si>
  <si>
    <r>
      <t xml:space="preserve">Keller M, Agladze M, Kupferman T, Rich SN, Marx GE, Gnanaprakasam R, Kodama R, Feldmesser M, Mitchell K, Wroblewski D, Juretschko S, Kleinman GM, Kuehnert MJ, Bhatnagar J, Carnes MD, Bullock H, </t>
    </r>
    <r>
      <rPr>
        <b/>
        <sz val="11"/>
        <color rgb="FF212121"/>
        <rFont val="Arial"/>
        <family val="2"/>
      </rPr>
      <t>Reagan-Steiner S</t>
    </r>
    <r>
      <rPr>
        <sz val="11"/>
        <color rgb="FF212121"/>
        <rFont val="Arial"/>
        <family val="2"/>
      </rPr>
      <t>, Corvese G, Ackelsberg J</t>
    </r>
  </si>
  <si>
    <t> PMC11616645</t>
  </si>
  <si>
    <r>
      <t xml:space="preserve">Rogers JH, Westley B, Mego T, Newell KG, Laurance J, Smith L, Parker J, Park SY, Venkatasubrahmanyam S, Noll N, Bercovici S, Rao AK, McCollum AM, Davidson W, Carson WC, Townsend MB, Doty JB, Hutson C, Li Y, Wilkins K, Deng J, Gigante CM, Satheshkumar PS, Tuttle A, Villalba JA, Bhatnagar J, </t>
    </r>
    <r>
      <rPr>
        <b/>
        <sz val="11"/>
        <color rgb="FF212121"/>
        <rFont val="Arial"/>
        <family val="2"/>
      </rPr>
      <t>Reagan-Steiner S</t>
    </r>
    <r>
      <rPr>
        <sz val="11"/>
        <color rgb="FF212121"/>
        <rFont val="Arial"/>
        <family val="2"/>
      </rPr>
      <t>, Castrodale LJ, McLaughlin JB</t>
    </r>
  </si>
  <si>
    <t xml:space="preserve">Dallas J. Smith, PharmD, Elizabeth Misas, PhD, Jeremy A.W. Gold, MD, Nicole Evert, MPH, Thi Dang, MPH, Emilie Prot, MD; Simone Godwin, DVM; JulieAnna Rivas, MPH; Jessica Pearson, MPH; Lori Koenecke, MPH; Nirma D. Bustamante, MD; Maria Julia Marinissen, PhD; Caitlin Lutfy, MPH; Samantha Williams, MPH, Axel A. Vazquez Deida, PharmD; Katrina M. Byrd, MD; Julian A. Villalba, MD; Sarah Reagan-Steiner, MD, MPH, Lindsay Parnell, PhD; Lalitha Gade, MPharm; Romney M Humphries. Nathan P. Wiederhold, PharmD; Charles Chiu, PhD; Joshua A. Lieberman, PhD; Anastasia P. Litvintseva, PhD; Tom Chiller, MD, MPHTM; Luis Ostrosky-Zeichner, MD, Fungal Meningitis Response Team </t>
  </si>
  <si>
    <t xml:space="preserve">JAMA  </t>
  </si>
  <si>
    <t xml:space="preserve"> PMC11906784</t>
  </si>
  <si>
    <t xml:space="preserve"> PMC11488184</t>
  </si>
  <si>
    <t>PB</t>
  </si>
  <si>
    <t>DOI: 10.1177/00333549231208642</t>
  </si>
  <si>
    <t xml:space="preserve">announced all </t>
  </si>
  <si>
    <t>Amy Parker Fiebelkorn, Sara Adelsberg, Rishelle Anthony, Samrawit Ashenafi, Amimah F. Asif, Maria Azzarelli, Theresa Bailey, Timothy Tee Boddie, Alaina P.Boyer,  Nicole Williams Bungum, Helen Burstin, Jacqueline L.Burton, David M.Casey, Cammie Chaumont Menendez, Brigette Courtot, Kelly Cronin, Cherrie Dowdell, Laura H.Downey, Megan Fields, Tom Fitzsimmons, Alexa Frank, Emily Gustafson, Margaret Gutierrez-Nkomo, Benita Harris-McBride, Joanna Hill, Kathleen Holmes, Laura Huerta Migus, Joanna Jacob Kuttothara, Natalie Johns, Jennifer Johnson, Alice Kelsey, Lucy Kingangi, Cynthia M.Landrum, James T.Lee, Pedro D. Martinez, Gisela Medina Martínez, Richard Nicholls, Jane R.Nilson, Nma Ohiaeri, Laura Pegram, Claire Perkins, Alexandra M.Piasecki, Talia Pindyck, Sarah Price, Michelle S. Rodgers, Heather Roney, Ellen M. Schultz, Elizabeth Sobczyk, JoAnn M. Thierry, Chelsea Toledo, Nancy E. Weiss, Amy Wiatr-Rodriguez, Lauren Williams, Chenmua Yang, Andrea Yao, Julie Zajac</t>
  </si>
  <si>
    <t>The role of funded partnerships in working towards decreasing COVID-19 vaccination disparities, United States, March 2021—December 2022</t>
  </si>
  <si>
    <t> </t>
  </si>
  <si>
    <t>This will be part of the Vaccine supplement pulled together by ISD, 09/17/24</t>
  </si>
  <si>
    <t>DOI: 10.1016/j.vaccine.2023.12.061</t>
  </si>
  <si>
    <t>PMC11252248</t>
  </si>
  <si>
    <t>Nimalie D. Stone, Amy Parker Fiebelkorn, Angela Guo, Elizabeth Mothershed, Lauren Moccia, Jeneita Bell, Diana Yassanye, Elisha Hall, Chris Duggar, Arjun Srinivasan, Sarah A. Meyer, Ruth Link-Gelles</t>
  </si>
  <si>
    <t>Challenges and opportunities during the COVID-19 vaccination efforts in long-term care</t>
  </si>
  <si>
    <t xml:space="preserve">Yes </t>
  </si>
  <si>
    <t>DOI: 10.1016/j.vaccine.2023.12.064</t>
  </si>
  <si>
    <t>Journal of Reproductive Immunology</t>
  </si>
  <si>
    <t>Frederieke A.J. Gigase, Rebecca H. Jessel, Elianna Kaplowitz, Natalie Boychuk, Sophie Ohrn, Erona Ibroci, Juliana Castro, Jezelle Lynch, Rushna Tubassum, Amy Balbierz, Nina M. Molenaar, Mara Graziani, Roy Missall, Tammy Flores, Toni Stern, Juan Manuel Carreno, Krammer Serology Core Study, Florian Krammer, Alan Adler, Rachel I. Brody, Corina Lesseur, Jia Chen, Sascha Ellington , Romeo R. Galang , Margaret C. Snead, Elizabeth Howell, Joanne Stone, Veerle Bergink, Siobhan Dolan, Whitney Lieb, Anna-Sophie Rommel, Lotje D. de Witte, Teresa Janevic</t>
  </si>
  <si>
    <t>SARS-CoV-2 infection, inflammation and birth outcomes in a prospective NYC pregnancy cohort</t>
  </si>
  <si>
    <t>163/June 20</t>
  </si>
  <si>
    <t>Volume 163, June 2024, 104243</t>
  </si>
  <si>
    <t>DOI: 10.1016/j.jri.2024.104243</t>
  </si>
  <si>
    <t>PMC11144074</t>
  </si>
  <si>
    <t>Alexandra M. Piasecki a, Diane M. Hall, Julie Zajac, Scott A. Miller, Jane R. Nilson</t>
  </si>
  <si>
    <t>A programmatic update on COVID-19 vaccination in rural communities in the United States</t>
  </si>
  <si>
    <t>Yes (6/6/2024)</t>
  </si>
  <si>
    <t>DOI: 10.1016/j.vaccine.2024.04.043</t>
  </si>
  <si>
    <t>PMC11653116</t>
  </si>
  <si>
    <t>Health Promot Pract</t>
  </si>
  <si>
    <t>Holmes, K. Gutierrez-Nkomo, M. Donovan, J. Manns, B. J. Griswold, S. Edwards, R. Flores, S. A. Parker Fiebelkorn, A.</t>
  </si>
  <si>
    <t>Operationalizing the Centers for Disease Control and Prevention's Vaccinate With Confidence Framework during the COVID-19 emergency Response in the United States</t>
  </si>
  <si>
    <t>YES (1/4/2024)</t>
  </si>
  <si>
    <t>Available online at https://journals.sagepub.com/doi/10.1177/15248399231188106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</si>
</sst>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m/dd/yy;@"/>
  </numFmts>
  <fonts count="90">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sz val="10"/>
      <color theme="1"/>
      <name val="Arial"/>
      <family val="2"/>
    </font>
    <font>
      <sz val="10"/>
      <name val="Arial"/>
      <family val="2"/>
    </font>
    <font>
      <sz val="10"/>
      <color rgb="FF000000"/>
      <name val="Arial"/>
      <family val="2"/>
    </font>
    <font>
      <sz val="11"/>
      <color rgb="FF000000"/>
      <name val="Calibri"/>
      <family val="2"/>
      <scheme val="minor"/>
    </font>
    <font>
      <sz val="10"/>
      <color rgb="FF212121"/>
      <name val="Arial"/>
      <family val="2"/>
    </font>
    <font>
      <sz val="11"/>
      <color theme="1"/>
      <name val="Calibri"/>
      <family val="2"/>
    </font>
    <font>
      <sz val="11"/>
      <color rgb="FF000000"/>
      <name val="Calibri"/>
      <family val="2"/>
    </font>
    <font>
      <u/>
      <sz val="11"/>
      <color theme="10"/>
      <name val="Calibri"/>
      <family val="2"/>
      <scheme val="minor"/>
    </font>
    <font>
      <b/>
      <sz val="11"/>
      <color theme="1"/>
      <name val="Calibri"/>
      <family val="2"/>
      <scheme val="minor"/>
    </font>
    <font>
      <sz val="10"/>
      <color rgb="FF000000"/>
      <name val="Calibri"/>
      <family val="2"/>
    </font>
    <font>
      <sz val="10"/>
      <color rgb="FF222222"/>
      <name val="Calibri"/>
      <family val="2"/>
    </font>
    <font>
      <sz val="10"/>
      <color theme="1"/>
      <name val="Calibri"/>
      <family val="2"/>
      <scheme val="minor"/>
    </font>
    <font>
      <sz val="10"/>
      <color rgb="FF000000"/>
      <name val="Calibri"/>
      <family val="2"/>
      <scheme val="minor"/>
    </font>
    <font>
      <sz val="11"/>
      <color rgb="FF1F1F1F"/>
      <name val="ElsevierSans"/>
      <charset val="1"/>
    </font>
    <font>
      <sz val="11"/>
      <color rgb="FF1F1F1F"/>
      <name val="ElsevierGulliver"/>
    </font>
    <font>
      <sz val="11"/>
      <color rgb="FF1F1F1F"/>
      <name val="Calibri"/>
      <family val="2"/>
      <scheme val="minor"/>
    </font>
    <font>
      <sz val="10"/>
      <color theme="1"/>
      <name val="Arial"/>
      <family val="2"/>
    </font>
    <font>
      <b/>
      <sz val="11"/>
      <color theme="1"/>
      <name val="Calibri"/>
      <family val="2"/>
      <scheme val="minor"/>
    </font>
    <font>
      <sz val="11"/>
      <color rgb="FF212121"/>
      <name val="Calibri"/>
      <family val="2"/>
      <scheme val="minor"/>
    </font>
    <font>
      <sz val="12"/>
      <color rgb="FF212121"/>
      <name val="Calibri"/>
      <family val="2"/>
      <charset val="1"/>
    </font>
    <font>
      <b/>
      <sz val="10"/>
      <color rgb="FF212121"/>
      <name val="Arial"/>
      <family val="2"/>
    </font>
    <font>
      <sz val="9"/>
      <color rgb="FF000000"/>
      <name val="Verdana"/>
      <family val="2"/>
    </font>
    <font>
      <sz val="11"/>
      <color rgb="FF333333"/>
      <name val="Arial"/>
      <family val="2"/>
    </font>
    <font>
      <sz val="11"/>
      <color theme="1"/>
      <name val="Aptos"/>
      <family val="2"/>
      <charset val="1"/>
    </font>
    <font>
      <sz val="11"/>
      <color rgb="FF1A1A1A"/>
      <name val="Calibri"/>
      <family val="2"/>
      <scheme val="minor"/>
    </font>
    <font>
      <b/>
      <sz val="10"/>
      <color rgb="FF000000"/>
      <name val="Arial"/>
      <family val="2"/>
    </font>
    <font>
      <u/>
      <sz val="10"/>
      <color rgb="FF000000"/>
      <name val="Arial"/>
      <family val="2"/>
    </font>
    <font>
      <vertAlign val="superscript"/>
      <sz val="10"/>
      <color rgb="FF000000"/>
      <name val="Arial"/>
      <family val="2"/>
    </font>
    <font>
      <i/>
      <sz val="10"/>
      <color rgb="FF000000"/>
      <name val="Arial"/>
      <family val="2"/>
    </font>
    <font>
      <sz val="10"/>
      <color theme="1"/>
      <name val="Arial"/>
      <family val="2"/>
    </font>
    <font>
      <sz val="10"/>
      <color rgb="FF262626"/>
      <name val="Arial"/>
      <family val="2"/>
    </font>
    <font>
      <u/>
      <sz val="10"/>
      <color theme="10"/>
      <name val="Arial"/>
      <family val="2"/>
    </font>
    <font>
      <sz val="11"/>
      <color rgb="FF242424"/>
      <name val="Aptos Narrow"/>
      <family val="2"/>
    </font>
    <font>
      <sz val="10"/>
      <color rgb="FF1A254C"/>
      <name val="Arial"/>
      <family val="2"/>
    </font>
    <font>
      <sz val="10"/>
      <color rgb="FF1F1F1F"/>
      <name val="Arial"/>
      <family val="2"/>
    </font>
    <font>
      <sz val="10"/>
      <color rgb="FF2A2A2A"/>
      <name val="Arial"/>
      <family val="2"/>
    </font>
    <font>
      <sz val="10"/>
      <color rgb="FF1C1D1E"/>
      <name val="Arial"/>
      <family val="2"/>
    </font>
    <font>
      <sz val="10"/>
      <color rgb="FF222222"/>
      <name val="Arial"/>
      <family val="2"/>
    </font>
    <font>
      <sz val="10"/>
      <color rgb="FF444444"/>
      <name val="Arial"/>
      <family val="2"/>
    </font>
    <font>
      <u/>
      <sz val="11"/>
      <color theme="10"/>
      <name val="Arial"/>
      <family val="2"/>
    </font>
    <font>
      <sz val="11"/>
      <color theme="1"/>
      <name val="Arial"/>
      <family val="2"/>
    </font>
    <font>
      <sz val="11"/>
      <color rgb="FF000000"/>
      <name val="Arial"/>
      <family val="2"/>
    </font>
    <font>
      <b/>
      <sz val="11"/>
      <color rgb="FF000000"/>
      <name val="Arial"/>
      <family val="2"/>
    </font>
    <font>
      <sz val="11"/>
      <color rgb="FF212121"/>
      <name val="Arial"/>
      <family val="2"/>
    </font>
    <font>
      <b/>
      <sz val="11"/>
      <color theme="1"/>
      <name val="Arial"/>
      <family val="2"/>
    </font>
    <font>
      <sz val="11"/>
      <name val="Arial"/>
      <family val="2"/>
    </font>
    <font>
      <b/>
      <sz val="10"/>
      <color theme="1"/>
      <name val="Calibri"/>
      <family val="2"/>
      <scheme val="minor"/>
    </font>
    <font>
      <sz val="12"/>
      <color rgb="FF212121"/>
      <name val="Arial"/>
      <family val="2"/>
    </font>
    <font>
      <i/>
      <sz val="11"/>
      <color rgb="FF000000"/>
      <name val="Arial"/>
      <family val="2"/>
    </font>
    <font>
      <b/>
      <sz val="12"/>
      <color theme="1"/>
      <name val="Calibri"/>
      <family val="2"/>
      <scheme val="minor"/>
    </font>
    <font>
      <b/>
      <sz val="11"/>
      <color rgb="FF000000"/>
      <name val="Calibri"/>
      <family val="2"/>
      <scheme val="minor"/>
    </font>
    <font>
      <b/>
      <sz val="10"/>
      <color rgb="FF000000"/>
      <name val="Arial"/>
      <family val="2"/>
    </font>
    <font>
      <sz val="12"/>
      <color theme="1"/>
      <name val="Arial"/>
      <family val="2"/>
    </font>
    <font>
      <sz val="11"/>
      <color rgb="FF1A1A1A"/>
      <name val="Arial"/>
      <family val="2"/>
    </font>
    <font>
      <sz val="11"/>
      <color rgb="FF1F1F1F"/>
      <name val="Arial"/>
      <family val="2"/>
    </font>
    <font>
      <u/>
      <sz val="11"/>
      <color rgb="FF000000"/>
      <name val="Arial"/>
      <family val="2"/>
    </font>
    <font>
      <vertAlign val="superscript"/>
      <sz val="11"/>
      <color rgb="FF000000"/>
      <name val="Arial"/>
      <family val="2"/>
    </font>
    <font>
      <sz val="11"/>
      <color rgb="FF262626"/>
      <name val="Arial"/>
      <family val="2"/>
    </font>
    <font>
      <sz val="11"/>
      <color rgb="FF1A254C"/>
      <name val="Arial"/>
      <family val="2"/>
    </font>
    <font>
      <sz val="11"/>
      <color rgb="FF444444"/>
      <name val="Arial"/>
      <family val="2"/>
    </font>
    <font>
      <sz val="11"/>
      <color rgb="FF2A2A2A"/>
      <name val="Arial"/>
      <family val="2"/>
    </font>
    <font>
      <sz val="11"/>
      <color rgb="FF1C1D1E"/>
      <name val="Arial"/>
      <family val="2"/>
    </font>
    <font>
      <sz val="11"/>
      <color rgb="FF222222"/>
      <name val="Arial"/>
      <family val="2"/>
    </font>
    <font>
      <b/>
      <sz val="11"/>
      <color rgb="FF212121"/>
      <name val="Arial"/>
      <family val="2"/>
    </font>
    <font>
      <sz val="12"/>
      <color theme="1"/>
      <name val="Aptos"/>
      <family val="2"/>
    </font>
    <font>
      <sz val="12"/>
      <color rgb="FF000000"/>
      <name val="Calibri"/>
      <family val="2"/>
      <scheme val="minor"/>
    </font>
    <font>
      <sz val="12"/>
      <color rgb="FF1F1F1F"/>
      <name val="ElsevierSans"/>
    </font>
    <font>
      <sz val="12"/>
      <color rgb="FF1F1F1F"/>
      <name val="Arial"/>
      <family val="2"/>
    </font>
    <font>
      <b/>
      <sz val="10"/>
      <color rgb="FF1F1F1F"/>
      <name val="Arial"/>
      <family val="2"/>
    </font>
    <font>
      <sz val="12"/>
      <color rgb="FF212121"/>
      <name val="Segoe UI"/>
      <family val="2"/>
    </font>
    <font>
      <sz val="11"/>
      <color rgb="FF000000"/>
      <name val="Aptos Narrow"/>
      <family val="2"/>
    </font>
    <font>
      <sz val="11"/>
      <color rgb="FF172B4D"/>
      <name val="Suisse Int'l"/>
      <charset val="1"/>
    </font>
    <font>
      <sz val="11"/>
      <color rgb="FF000000"/>
      <name val="Arial"/>
      <family val="2"/>
      <charset val="1"/>
    </font>
    <font>
      <sz val="10"/>
      <color rgb="FF1C1D1F"/>
      <name val="Arial"/>
      <family val="2"/>
    </font>
    <font>
      <sz val="12"/>
      <color theme="1"/>
      <name val="Aptos"/>
      <family val="2"/>
      <charset val="1"/>
    </font>
    <font>
      <sz val="11"/>
      <color rgb="FF000000"/>
      <name val="BlinkMacSystemFont"/>
      <charset val="1"/>
    </font>
    <font>
      <sz val="10"/>
      <color theme="1"/>
      <name val="Calibri"/>
      <family val="2"/>
      <scheme val="minor"/>
    </font>
    <font>
      <sz val="10"/>
      <color rgb="FF212121"/>
      <name val="Calibri"/>
      <family val="2"/>
      <scheme val="minor"/>
    </font>
    <font>
      <sz val="10"/>
      <color rgb="FF000000"/>
      <name val="Arial"/>
    </font>
    <font>
      <b/>
      <sz val="10"/>
      <color rgb="FF000000"/>
      <name val="Arial"/>
    </font>
    <font>
      <sz val="11"/>
      <color theme="1"/>
      <name val="Arial"/>
    </font>
    <font>
      <sz val="12"/>
      <color rgb="FF212121"/>
      <name val="BlinkMacSystemFont"/>
      <charset val="1"/>
    </font>
    <font>
      <sz val="10"/>
      <color theme="1"/>
      <name val="Arial"/>
    </font>
  </fonts>
  <fills count="11">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FF"/>
        <bgColor indexed="64"/>
      </patternFill>
    </fill>
    <fill>
      <patternFill patternType="solid">
        <fgColor rgb="FFFFFFFF"/>
        <bgColor rgb="FF000000"/>
      </patternFill>
    </fill>
    <fill>
      <patternFill patternType="solid">
        <fgColor rgb="FFFFFF00"/>
        <bgColor indexed="64"/>
      </patternFill>
    </fill>
    <fill>
      <patternFill patternType="solid">
        <fgColor rgb="FFEEECE1"/>
        <bgColor indexed="64"/>
      </patternFill>
    </fill>
    <fill>
      <patternFill patternType="solid">
        <fgColor rgb="FFFFFF00"/>
        <bgColor rgb="FF000000"/>
      </patternFill>
    </fill>
    <fill>
      <patternFill patternType="solid">
        <fgColor theme="2" tint="-9.9978637043366805E-2"/>
        <bgColor indexed="64"/>
      </patternFill>
    </fill>
    <fill>
      <patternFill patternType="solid">
        <fgColor rgb="FFFF0000"/>
        <bgColor indexed="64"/>
      </patternFill>
    </fill>
  </fills>
  <borders count="2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2"/>
      </left>
      <right style="thin">
        <color theme="2"/>
      </right>
      <top style="thin">
        <color theme="2"/>
      </top>
      <bottom style="thin">
        <color theme="2"/>
      </bottom>
      <diagonal/>
    </border>
    <border>
      <left/>
      <right style="thin">
        <color theme="0" tint="-0.249977111117893"/>
      </right>
      <top/>
      <bottom style="thin">
        <color theme="0" tint="-0.249977111117893"/>
      </bottom>
      <diagonal/>
    </border>
    <border>
      <left style="thin">
        <color indexed="64"/>
      </left>
      <right style="thin">
        <color indexed="64"/>
      </right>
      <top style="thin">
        <color theme="0" tint="-0.249977111117893"/>
      </top>
      <bottom/>
      <diagonal/>
    </border>
    <border>
      <left style="thin">
        <color indexed="64"/>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thin">
        <color rgb="FFBFBFBF"/>
      </left>
      <right style="thin">
        <color rgb="FFBFBFBF"/>
      </right>
      <top style="thin">
        <color rgb="FFBFBFBF"/>
      </top>
      <bottom/>
      <diagonal/>
    </border>
    <border>
      <left/>
      <right/>
      <top style="thin">
        <color theme="4" tint="0.39997558519241921"/>
      </top>
      <bottom style="thin">
        <color theme="0" tint="-0.249977111117893"/>
      </bottom>
      <diagonal/>
    </border>
    <border>
      <left/>
      <right/>
      <top style="thin">
        <color theme="4" tint="0.39997558519241921"/>
      </top>
      <bottom style="thin">
        <color theme="4" tint="0.39997558519241921"/>
      </bottom>
      <diagonal/>
    </border>
  </borders>
  <cellStyleXfs count="2">
    <xf numFmtId="0" fontId="0" fillId="0" borderId="0"/>
    <xf numFmtId="0" fontId="14" fillId="0" borderId="0" applyNumberFormat="0" applyFill="0" applyBorder="0" applyAlignment="0" applyProtection="0"/>
  </cellStyleXfs>
  <cellXfs count="493">
    <xf numFmtId="0" fontId="0" fillId="0" borderId="0" xfId="0"/>
    <xf numFmtId="0" fontId="0" fillId="0" borderId="0" xfId="0" applyAlignment="1">
      <alignment horizontal="left" vertical="top" wrapText="1"/>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49" fontId="6" fillId="3" borderId="1" xfId="0" applyNumberFormat="1" applyFont="1" applyFill="1" applyBorder="1" applyAlignment="1">
      <alignment horizontal="left" vertical="top"/>
    </xf>
    <xf numFmtId="164" fontId="6" fillId="3" borderId="1" xfId="0" applyNumberFormat="1" applyFont="1" applyFill="1" applyBorder="1" applyAlignment="1">
      <alignment horizontal="left" vertical="top" wrapText="1"/>
    </xf>
    <xf numFmtId="0" fontId="0" fillId="2" borderId="1" xfId="0" applyFill="1" applyBorder="1"/>
    <xf numFmtId="0" fontId="6" fillId="3" borderId="1" xfId="0" applyFont="1" applyFill="1" applyBorder="1" applyAlignment="1">
      <alignment vertical="top" wrapText="1"/>
    </xf>
    <xf numFmtId="0" fontId="6" fillId="3" borderId="1" xfId="0" applyFont="1" applyFill="1" applyBorder="1" applyAlignment="1">
      <alignment horizontal="center" vertical="top"/>
    </xf>
    <xf numFmtId="0" fontId="7" fillId="2" borderId="1" xfId="0" applyFont="1" applyFill="1" applyBorder="1" applyAlignment="1">
      <alignment vertical="top" wrapText="1"/>
    </xf>
    <xf numFmtId="0" fontId="7" fillId="2" borderId="1" xfId="0" applyFont="1" applyFill="1" applyBorder="1" applyAlignment="1">
      <alignment horizontal="center" vertical="top"/>
    </xf>
    <xf numFmtId="0" fontId="7" fillId="2" borderId="1" xfId="0" applyFont="1" applyFill="1" applyBorder="1" applyAlignment="1">
      <alignment horizontal="left" vertical="top"/>
    </xf>
    <xf numFmtId="49" fontId="7" fillId="2" borderId="1" xfId="0" applyNumberFormat="1" applyFont="1" applyFill="1" applyBorder="1" applyAlignment="1">
      <alignment horizontal="left" vertical="top"/>
    </xf>
    <xf numFmtId="164" fontId="7" fillId="2" borderId="1" xfId="0" applyNumberFormat="1" applyFont="1" applyFill="1" applyBorder="1" applyAlignment="1">
      <alignment horizontal="left" vertical="top"/>
    </xf>
    <xf numFmtId="0" fontId="9" fillId="2" borderId="1" xfId="0" applyFont="1" applyFill="1" applyBorder="1" applyAlignment="1">
      <alignment wrapText="1"/>
    </xf>
    <xf numFmtId="0" fontId="7"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164" fontId="7" fillId="2" borderId="1" xfId="0" applyNumberFormat="1" applyFont="1" applyFill="1" applyBorder="1" applyAlignment="1">
      <alignment horizontal="left" vertical="top" wrapText="1"/>
    </xf>
    <xf numFmtId="49" fontId="7" fillId="2" borderId="1" xfId="0" applyNumberFormat="1" applyFont="1" applyFill="1" applyBorder="1" applyAlignment="1">
      <alignment horizontal="left" vertical="top" wrapText="1"/>
    </xf>
    <xf numFmtId="0" fontId="9" fillId="2" borderId="1" xfId="0" applyFont="1" applyFill="1" applyBorder="1" applyAlignment="1">
      <alignment horizontal="center"/>
    </xf>
    <xf numFmtId="0" fontId="7" fillId="2" borderId="1" xfId="0" applyFont="1" applyFill="1" applyBorder="1"/>
    <xf numFmtId="0" fontId="9" fillId="2" borderId="1" xfId="0" applyFont="1" applyFill="1" applyBorder="1" applyAlignment="1">
      <alignment horizontal="left" vertical="top" wrapText="1"/>
    </xf>
    <xf numFmtId="0" fontId="7" fillId="2" borderId="1" xfId="0" applyFont="1" applyFill="1" applyBorder="1" applyAlignment="1">
      <alignment vertical="top"/>
    </xf>
    <xf numFmtId="49" fontId="6" fillId="3" borderId="1" xfId="0" applyNumberFormat="1" applyFont="1" applyFill="1" applyBorder="1" applyAlignment="1">
      <alignment horizontal="left" vertical="top" wrapText="1"/>
    </xf>
    <xf numFmtId="0" fontId="7" fillId="3" borderId="1" xfId="0" applyFont="1" applyFill="1" applyBorder="1" applyAlignment="1">
      <alignment horizontal="left" vertical="top" wrapText="1"/>
    </xf>
    <xf numFmtId="1" fontId="7" fillId="2" borderId="1" xfId="0" applyNumberFormat="1" applyFont="1" applyFill="1" applyBorder="1" applyAlignment="1">
      <alignment horizontal="left" vertical="top" wrapText="1"/>
    </xf>
    <xf numFmtId="0" fontId="0" fillId="2" borderId="1" xfId="0" applyFill="1" applyBorder="1" applyAlignment="1">
      <alignment horizontal="left" vertical="top" wrapText="1"/>
    </xf>
    <xf numFmtId="0" fontId="7" fillId="2" borderId="8" xfId="0" applyFont="1" applyFill="1" applyBorder="1" applyAlignment="1">
      <alignment horizontal="left" vertical="top" wrapText="1"/>
    </xf>
    <xf numFmtId="0" fontId="7" fillId="2" borderId="7" xfId="0" applyFont="1" applyFill="1" applyBorder="1" applyAlignment="1">
      <alignment horizontal="left" vertical="top" wrapText="1"/>
    </xf>
    <xf numFmtId="0" fontId="7" fillId="6" borderId="1" xfId="0" applyFont="1" applyFill="1" applyBorder="1" applyAlignment="1">
      <alignment horizontal="left" vertical="top"/>
    </xf>
    <xf numFmtId="0" fontId="7" fillId="5" borderId="3" xfId="0" applyFont="1" applyFill="1" applyBorder="1"/>
    <xf numFmtId="0" fontId="7" fillId="5" borderId="5" xfId="0" applyFont="1" applyFill="1" applyBorder="1"/>
    <xf numFmtId="0" fontId="6" fillId="7" borderId="1" xfId="0" applyFont="1" applyFill="1" applyBorder="1" applyAlignment="1">
      <alignment vertical="top" wrapText="1"/>
    </xf>
    <xf numFmtId="0" fontId="14" fillId="2" borderId="1" xfId="1" applyFill="1" applyBorder="1" applyAlignment="1">
      <alignment horizontal="left" vertical="top" wrapText="1"/>
    </xf>
    <xf numFmtId="0" fontId="24" fillId="3" borderId="1" xfId="0" applyFont="1" applyFill="1" applyBorder="1" applyAlignment="1">
      <alignment horizontal="left" vertical="top"/>
    </xf>
    <xf numFmtId="0" fontId="5" fillId="2" borderId="1" xfId="0" applyFont="1" applyFill="1" applyBorder="1" applyAlignment="1">
      <alignment vertical="top"/>
    </xf>
    <xf numFmtId="0" fontId="5" fillId="2" borderId="1" xfId="0" applyFont="1" applyFill="1" applyBorder="1" applyAlignment="1">
      <alignment horizontal="left" vertical="top"/>
    </xf>
    <xf numFmtId="0" fontId="5" fillId="2" borderId="1" xfId="0" applyFont="1" applyFill="1" applyBorder="1" applyAlignment="1">
      <alignment horizontal="center" vertical="top"/>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25" fillId="0" borderId="0" xfId="0" applyFont="1" applyAlignment="1">
      <alignment horizontal="left" vertical="top"/>
    </xf>
    <xf numFmtId="0" fontId="26" fillId="0" borderId="0" xfId="0" applyFont="1"/>
    <xf numFmtId="0" fontId="5" fillId="2" borderId="7" xfId="0" applyFont="1" applyFill="1" applyBorder="1" applyAlignment="1">
      <alignment horizontal="left" vertical="top"/>
    </xf>
    <xf numFmtId="0" fontId="5" fillId="0" borderId="1" xfId="0" applyFont="1" applyBorder="1" applyAlignment="1">
      <alignment horizontal="left" vertical="top" wrapText="1"/>
    </xf>
    <xf numFmtId="0" fontId="12" fillId="0" borderId="1" xfId="0" applyFont="1" applyBorder="1" applyAlignment="1">
      <alignment horizontal="left" vertical="top" wrapText="1"/>
    </xf>
    <xf numFmtId="0" fontId="28" fillId="0" borderId="1" xfId="0" applyFont="1" applyBorder="1" applyAlignment="1">
      <alignment vertical="top"/>
    </xf>
    <xf numFmtId="0" fontId="7" fillId="2" borderId="0" xfId="0" applyFont="1" applyFill="1" applyAlignment="1">
      <alignment horizontal="left" vertical="top"/>
    </xf>
    <xf numFmtId="0" fontId="7" fillId="6" borderId="1" xfId="0" applyFont="1" applyFill="1" applyBorder="1" applyAlignment="1">
      <alignment horizontal="left" vertical="top" wrapText="1"/>
    </xf>
    <xf numFmtId="1" fontId="7" fillId="6" borderId="1" xfId="0" applyNumberFormat="1" applyFont="1" applyFill="1" applyBorder="1" applyAlignment="1">
      <alignment horizontal="left" vertical="top" wrapText="1"/>
    </xf>
    <xf numFmtId="0" fontId="7" fillId="2" borderId="9" xfId="0" applyFont="1" applyFill="1" applyBorder="1" applyAlignment="1">
      <alignment horizontal="left" vertical="top" wrapText="1"/>
    </xf>
    <xf numFmtId="0" fontId="15" fillId="3" borderId="1" xfId="0" applyFont="1" applyFill="1" applyBorder="1" applyAlignment="1">
      <alignment horizontal="left" vertical="top" wrapText="1"/>
    </xf>
    <xf numFmtId="0" fontId="15" fillId="3" borderId="1" xfId="0" applyFont="1" applyFill="1" applyBorder="1" applyAlignment="1">
      <alignment horizontal="left" vertical="top"/>
    </xf>
    <xf numFmtId="0" fontId="10" fillId="2" borderId="1" xfId="0" applyFont="1" applyFill="1" applyBorder="1" applyAlignment="1">
      <alignment vertical="top" wrapText="1"/>
    </xf>
    <xf numFmtId="0" fontId="0" fillId="0" borderId="0" xfId="0" applyAlignment="1">
      <alignment vertical="top" wrapText="1"/>
    </xf>
    <xf numFmtId="0" fontId="14" fillId="0" borderId="1" xfId="1" applyBorder="1" applyAlignment="1">
      <alignment vertical="top" wrapText="1"/>
    </xf>
    <xf numFmtId="0" fontId="0" fillId="0" borderId="1" xfId="0" applyBorder="1" applyAlignment="1">
      <alignment vertical="top" wrapText="1"/>
    </xf>
    <xf numFmtId="0" fontId="28" fillId="0" borderId="1" xfId="0" applyFont="1" applyBorder="1" applyAlignment="1">
      <alignment vertical="top" wrapText="1"/>
    </xf>
    <xf numFmtId="0" fontId="5"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4" fillId="0" borderId="1" xfId="1" applyBorder="1" applyAlignment="1">
      <alignment wrapText="1"/>
    </xf>
    <xf numFmtId="0" fontId="0" fillId="0" borderId="1" xfId="0" applyBorder="1" applyAlignment="1">
      <alignment horizontal="left" vertical="top" wrapText="1"/>
    </xf>
    <xf numFmtId="0" fontId="7" fillId="6" borderId="1" xfId="0" applyFont="1" applyFill="1" applyBorder="1" applyAlignment="1">
      <alignment vertical="top"/>
    </xf>
    <xf numFmtId="0" fontId="0" fillId="0" borderId="1" xfId="0" applyBorder="1"/>
    <xf numFmtId="0" fontId="10" fillId="0" borderId="1" xfId="0" applyFont="1" applyBorder="1" applyAlignment="1">
      <alignment wrapText="1"/>
    </xf>
    <xf numFmtId="0" fontId="7" fillId="5" borderId="2" xfId="0" applyFont="1" applyFill="1" applyBorder="1" applyAlignment="1">
      <alignment wrapText="1"/>
    </xf>
    <xf numFmtId="0" fontId="7" fillId="5" borderId="3" xfId="0" applyFont="1" applyFill="1" applyBorder="1" applyAlignment="1">
      <alignment wrapText="1"/>
    </xf>
    <xf numFmtId="0" fontId="7" fillId="5" borderId="4" xfId="0" applyFont="1" applyFill="1" applyBorder="1" applyAlignment="1">
      <alignment wrapText="1"/>
    </xf>
    <xf numFmtId="0" fontId="7" fillId="5" borderId="5" xfId="0" applyFont="1" applyFill="1" applyBorder="1" applyAlignment="1">
      <alignment wrapText="1"/>
    </xf>
    <xf numFmtId="0" fontId="7" fillId="5" borderId="3" xfId="0" applyFont="1" applyFill="1" applyBorder="1" applyAlignment="1">
      <alignment horizontal="center"/>
    </xf>
    <xf numFmtId="0" fontId="7" fillId="5" borderId="5" xfId="0" applyFont="1" applyFill="1" applyBorder="1" applyAlignment="1">
      <alignment horizontal="center"/>
    </xf>
    <xf numFmtId="0" fontId="29" fillId="0" borderId="0" xfId="0" applyFont="1" applyAlignment="1">
      <alignment wrapText="1"/>
    </xf>
    <xf numFmtId="0" fontId="16" fillId="0" borderId="1" xfId="0" applyFont="1" applyBorder="1" applyAlignment="1">
      <alignment wrapText="1"/>
    </xf>
    <xf numFmtId="0" fontId="17" fillId="0" borderId="1" xfId="0" applyFont="1" applyBorder="1" applyAlignment="1">
      <alignment wrapText="1"/>
    </xf>
    <xf numFmtId="0" fontId="13" fillId="5" borderId="1" xfId="0" applyFont="1" applyFill="1" applyBorder="1"/>
    <xf numFmtId="0" fontId="13" fillId="5" borderId="1" xfId="0" applyFont="1" applyFill="1" applyBorder="1" applyAlignment="1">
      <alignment wrapText="1"/>
    </xf>
    <xf numFmtId="0" fontId="21" fillId="0" borderId="1" xfId="0" applyFont="1" applyBorder="1" applyAlignment="1">
      <alignment vertical="top"/>
    </xf>
    <xf numFmtId="0" fontId="20" fillId="0" borderId="1" xfId="0" applyFont="1" applyBorder="1" applyAlignment="1">
      <alignment vertical="top"/>
    </xf>
    <xf numFmtId="0" fontId="14" fillId="0" borderId="1" xfId="1" applyBorder="1" applyAlignment="1">
      <alignment vertical="top"/>
    </xf>
    <xf numFmtId="0" fontId="14" fillId="5" borderId="1" xfId="1" applyFill="1" applyBorder="1" applyAlignment="1">
      <alignment wrapText="1"/>
    </xf>
    <xf numFmtId="0" fontId="6" fillId="3" borderId="1" xfId="0" applyFont="1" applyFill="1" applyBorder="1" applyAlignment="1">
      <alignment vertical="top"/>
    </xf>
    <xf numFmtId="49" fontId="6" fillId="3" borderId="1" xfId="0" applyNumberFormat="1" applyFont="1" applyFill="1" applyBorder="1" applyAlignment="1">
      <alignment vertical="top"/>
    </xf>
    <xf numFmtId="164" fontId="6" fillId="3" borderId="1" xfId="0" applyNumberFormat="1" applyFont="1" applyFill="1" applyBorder="1" applyAlignment="1">
      <alignment vertical="top" wrapText="1"/>
    </xf>
    <xf numFmtId="49" fontId="0" fillId="0" borderId="1" xfId="0" applyNumberFormat="1" applyBorder="1" applyAlignment="1">
      <alignment vertical="top" wrapText="1"/>
    </xf>
    <xf numFmtId="0" fontId="0" fillId="0" borderId="1" xfId="0" applyBorder="1" applyAlignment="1">
      <alignment vertical="top"/>
    </xf>
    <xf numFmtId="0" fontId="18" fillId="0" borderId="1" xfId="0" applyFont="1" applyBorder="1" applyAlignment="1">
      <alignment vertical="top"/>
    </xf>
    <xf numFmtId="0" fontId="19" fillId="0" borderId="1" xfId="0" applyFont="1" applyBorder="1"/>
    <xf numFmtId="49" fontId="18" fillId="0" borderId="1" xfId="0" applyNumberFormat="1" applyFont="1" applyBorder="1" applyAlignment="1">
      <alignment vertical="top"/>
    </xf>
    <xf numFmtId="0" fontId="22" fillId="0" borderId="1" xfId="0" applyFont="1" applyBorder="1" applyAlignment="1">
      <alignment vertical="top" wrapText="1"/>
    </xf>
    <xf numFmtId="14" fontId="7" fillId="2" borderId="1" xfId="0" applyNumberFormat="1" applyFont="1" applyFill="1" applyBorder="1" applyAlignment="1">
      <alignment vertical="top"/>
    </xf>
    <xf numFmtId="0" fontId="14" fillId="2" borderId="1" xfId="1" applyFill="1" applyBorder="1" applyAlignment="1">
      <alignment vertical="top" wrapText="1"/>
    </xf>
    <xf numFmtId="49" fontId="0" fillId="0" borderId="1" xfId="0" applyNumberFormat="1" applyBorder="1" applyAlignment="1">
      <alignment vertical="top"/>
    </xf>
    <xf numFmtId="0" fontId="18" fillId="6" borderId="1" xfId="0" applyFont="1" applyFill="1" applyBorder="1" applyAlignment="1">
      <alignment vertical="top"/>
    </xf>
    <xf numFmtId="14" fontId="0" fillId="0" borderId="1" xfId="0" applyNumberFormat="1" applyBorder="1" applyAlignment="1">
      <alignment vertical="top"/>
    </xf>
    <xf numFmtId="0" fontId="30" fillId="0" borderId="0" xfId="0" applyFont="1" applyAlignment="1">
      <alignment wrapText="1"/>
    </xf>
    <xf numFmtId="0" fontId="15" fillId="3" borderId="1" xfId="0" applyFont="1" applyFill="1" applyBorder="1" applyAlignment="1">
      <alignment vertical="top"/>
    </xf>
    <xf numFmtId="49" fontId="15" fillId="3" borderId="1" xfId="0" applyNumberFormat="1" applyFont="1" applyFill="1" applyBorder="1" applyAlignment="1">
      <alignment horizontal="left" vertical="top"/>
    </xf>
    <xf numFmtId="164" fontId="15" fillId="3" borderId="1" xfId="0" applyNumberFormat="1" applyFont="1" applyFill="1" applyBorder="1" applyAlignment="1">
      <alignment horizontal="left" vertical="top" wrapText="1"/>
    </xf>
    <xf numFmtId="0" fontId="10" fillId="0" borderId="0" xfId="0" applyFont="1" applyAlignment="1">
      <alignment horizontal="left" vertical="top"/>
    </xf>
    <xf numFmtId="0" fontId="11" fillId="0" borderId="0" xfId="0" applyFont="1" applyAlignment="1">
      <alignment horizontal="left" wrapText="1"/>
    </xf>
    <xf numFmtId="0" fontId="11" fillId="0" borderId="0" xfId="0" applyFont="1" applyAlignment="1">
      <alignment wrapText="1"/>
    </xf>
    <xf numFmtId="0" fontId="15" fillId="3" borderId="1" xfId="0" applyFont="1" applyFill="1" applyBorder="1" applyAlignment="1">
      <alignment vertical="top" wrapText="1"/>
    </xf>
    <xf numFmtId="0" fontId="6" fillId="6" borderId="1" xfId="0" applyFont="1" applyFill="1" applyBorder="1" applyAlignment="1">
      <alignment horizontal="left" vertical="top" wrapText="1"/>
    </xf>
    <xf numFmtId="0" fontId="14" fillId="5" borderId="3" xfId="1" applyFill="1" applyBorder="1"/>
    <xf numFmtId="14" fontId="7" fillId="2" borderId="1" xfId="0" applyNumberFormat="1" applyFont="1" applyFill="1" applyBorder="1" applyAlignment="1">
      <alignment horizontal="left" vertical="top"/>
    </xf>
    <xf numFmtId="0" fontId="0" fillId="0" borderId="1" xfId="0" applyBorder="1" applyAlignment="1">
      <alignment horizontal="left" vertical="center"/>
    </xf>
    <xf numFmtId="0" fontId="7" fillId="6" borderId="1" xfId="0" applyFont="1" applyFill="1" applyBorder="1" applyAlignment="1">
      <alignment vertical="top" wrapText="1"/>
    </xf>
    <xf numFmtId="0" fontId="3" fillId="2" borderId="1" xfId="0" applyFont="1" applyFill="1" applyBorder="1" applyAlignment="1">
      <alignment horizontal="left" vertical="top"/>
    </xf>
    <xf numFmtId="0" fontId="31" fillId="0" borderId="0" xfId="0" applyFont="1" applyAlignment="1">
      <alignment vertical="top"/>
    </xf>
    <xf numFmtId="0" fontId="14" fillId="0" borderId="0" xfId="1" applyAlignment="1">
      <alignment vertical="top"/>
    </xf>
    <xf numFmtId="15" fontId="7" fillId="2" borderId="1" xfId="0" applyNumberFormat="1" applyFont="1" applyFill="1" applyBorder="1" applyAlignment="1">
      <alignment horizontal="left" vertical="top"/>
    </xf>
    <xf numFmtId="0" fontId="30" fillId="6" borderId="0" xfId="0" applyFont="1" applyFill="1" applyAlignment="1">
      <alignment wrapText="1"/>
    </xf>
    <xf numFmtId="0" fontId="5" fillId="6" borderId="1" xfId="0" applyFont="1" applyFill="1" applyBorder="1" applyAlignment="1">
      <alignment horizontal="left" vertical="top"/>
    </xf>
    <xf numFmtId="0" fontId="9" fillId="6" borderId="1" xfId="0" applyFont="1" applyFill="1" applyBorder="1"/>
    <xf numFmtId="0" fontId="7" fillId="8" borderId="3" xfId="0" applyFont="1" applyFill="1" applyBorder="1"/>
    <xf numFmtId="0" fontId="7" fillId="8" borderId="5" xfId="0" applyFont="1" applyFill="1" applyBorder="1"/>
    <xf numFmtId="0" fontId="0" fillId="6" borderId="1" xfId="0" applyFill="1" applyBorder="1" applyAlignment="1">
      <alignment vertical="top" wrapText="1"/>
    </xf>
    <xf numFmtId="0" fontId="13" fillId="8" borderId="1" xfId="0" applyFont="1" applyFill="1" applyBorder="1"/>
    <xf numFmtId="0" fontId="0" fillId="6" borderId="1" xfId="0" applyFill="1" applyBorder="1" applyAlignment="1">
      <alignment vertical="top"/>
    </xf>
    <xf numFmtId="0" fontId="5" fillId="6" borderId="1" xfId="0" applyFont="1" applyFill="1" applyBorder="1" applyAlignment="1">
      <alignment vertical="top"/>
    </xf>
    <xf numFmtId="0" fontId="0" fillId="0" borderId="1" xfId="0" applyBorder="1" applyAlignment="1">
      <alignment horizontal="right" wrapText="1"/>
    </xf>
    <xf numFmtId="0" fontId="0" fillId="0" borderId="1" xfId="0" applyBorder="1" applyAlignment="1">
      <alignment horizontal="right"/>
    </xf>
    <xf numFmtId="0" fontId="7" fillId="2" borderId="1" xfId="0" applyFont="1" applyFill="1" applyBorder="1" applyAlignment="1">
      <alignment horizontal="right"/>
    </xf>
    <xf numFmtId="1" fontId="9" fillId="2" borderId="1" xfId="0" applyNumberFormat="1" applyFont="1" applyFill="1" applyBorder="1" applyAlignment="1">
      <alignment horizontal="left" vertical="top" wrapText="1"/>
    </xf>
    <xf numFmtId="0" fontId="9" fillId="6" borderId="1" xfId="0" applyFont="1" applyFill="1" applyBorder="1" applyAlignment="1">
      <alignment horizontal="left" vertical="top" wrapText="1"/>
    </xf>
    <xf numFmtId="1" fontId="9" fillId="6" borderId="1" xfId="0" applyNumberFormat="1" applyFont="1" applyFill="1" applyBorder="1" applyAlignment="1">
      <alignment horizontal="left" vertical="top" wrapText="1"/>
    </xf>
    <xf numFmtId="1" fontId="9" fillId="2" borderId="7" xfId="0" applyNumberFormat="1" applyFont="1" applyFill="1" applyBorder="1" applyAlignment="1">
      <alignment horizontal="left" vertical="top" wrapText="1"/>
    </xf>
    <xf numFmtId="0" fontId="9" fillId="2" borderId="7" xfId="0" applyFont="1" applyFill="1" applyBorder="1" applyAlignment="1">
      <alignment horizontal="left" vertical="top" wrapText="1"/>
    </xf>
    <xf numFmtId="0" fontId="9" fillId="2" borderId="8" xfId="0" applyFont="1" applyFill="1" applyBorder="1" applyAlignment="1">
      <alignment horizontal="left" vertical="top" wrapText="1"/>
    </xf>
    <xf numFmtId="1" fontId="9" fillId="2" borderId="9" xfId="0" applyNumberFormat="1" applyFont="1" applyFill="1" applyBorder="1" applyAlignment="1">
      <alignment horizontal="left" vertical="top" wrapText="1"/>
    </xf>
    <xf numFmtId="1" fontId="9" fillId="2" borderId="11" xfId="0" applyNumberFormat="1" applyFont="1" applyFill="1" applyBorder="1" applyAlignment="1">
      <alignment horizontal="left" vertical="top" wrapText="1"/>
    </xf>
    <xf numFmtId="1" fontId="9" fillId="2" borderId="8" xfId="0" applyNumberFormat="1" applyFont="1" applyFill="1" applyBorder="1" applyAlignment="1">
      <alignment horizontal="left" vertical="top" wrapText="1"/>
    </xf>
    <xf numFmtId="0" fontId="35" fillId="0" borderId="0" xfId="0" applyFont="1" applyAlignment="1">
      <alignment horizontal="left" vertical="top" wrapText="1"/>
    </xf>
    <xf numFmtId="0" fontId="14" fillId="0" borderId="12" xfId="1" applyBorder="1" applyAlignment="1">
      <alignment horizontal="left" vertical="top" wrapText="1"/>
    </xf>
    <xf numFmtId="0" fontId="14" fillId="4" borderId="1" xfId="1" applyFill="1" applyBorder="1" applyAlignment="1">
      <alignment horizontal="left" vertical="top" wrapText="1"/>
    </xf>
    <xf numFmtId="0" fontId="14" fillId="0" borderId="8" xfId="1" applyBorder="1" applyAlignment="1">
      <alignment horizontal="left" vertical="top" wrapText="1"/>
    </xf>
    <xf numFmtId="0" fontId="14" fillId="0" borderId="14" xfId="1" applyBorder="1" applyAlignment="1">
      <alignment horizontal="left" vertical="top" wrapText="1"/>
    </xf>
    <xf numFmtId="0" fontId="14" fillId="0" borderId="0" xfId="1" applyAlignment="1">
      <alignment horizontal="left" vertical="top" wrapText="1"/>
    </xf>
    <xf numFmtId="0" fontId="33" fillId="2" borderId="1" xfId="1" applyFont="1" applyFill="1" applyBorder="1" applyAlignment="1">
      <alignment horizontal="left" vertical="top" wrapText="1"/>
    </xf>
    <xf numFmtId="1" fontId="6" fillId="3" borderId="1" xfId="0" applyNumberFormat="1" applyFont="1" applyFill="1" applyBorder="1" applyAlignment="1">
      <alignment horizontal="left" vertical="top" wrapText="1"/>
    </xf>
    <xf numFmtId="0" fontId="36" fillId="2" borderId="1" xfId="0" applyFont="1" applyFill="1" applyBorder="1" applyAlignment="1">
      <alignment horizontal="left" vertical="top" wrapText="1"/>
    </xf>
    <xf numFmtId="0" fontId="37" fillId="2" borderId="10" xfId="0" applyFont="1" applyFill="1" applyBorder="1" applyAlignment="1">
      <alignment horizontal="left" vertical="top" wrapText="1"/>
    </xf>
    <xf numFmtId="0" fontId="38" fillId="0" borderId="0" xfId="1" applyFont="1" applyAlignment="1">
      <alignment horizontal="left" vertical="top" wrapText="1"/>
    </xf>
    <xf numFmtId="0" fontId="38" fillId="0" borderId="1" xfId="1" applyFont="1" applyBorder="1" applyAlignment="1">
      <alignment horizontal="left" vertical="top" wrapText="1"/>
    </xf>
    <xf numFmtId="0" fontId="39" fillId="0" borderId="0" xfId="0" applyFont="1" applyAlignment="1">
      <alignment wrapText="1"/>
    </xf>
    <xf numFmtId="1" fontId="9" fillId="0" borderId="1" xfId="0" applyNumberFormat="1" applyFont="1" applyBorder="1" applyAlignment="1">
      <alignment horizontal="left" vertical="top" wrapText="1"/>
    </xf>
    <xf numFmtId="0" fontId="9" fillId="0" borderId="1" xfId="0" applyFont="1" applyBorder="1" applyAlignment="1">
      <alignment horizontal="left" vertical="top" wrapText="1"/>
    </xf>
    <xf numFmtId="0" fontId="9" fillId="0" borderId="9" xfId="0" applyFont="1" applyBorder="1" applyAlignment="1">
      <alignment horizontal="left" vertical="top" wrapText="1"/>
    </xf>
    <xf numFmtId="0" fontId="9" fillId="0" borderId="11" xfId="0" applyFont="1" applyBorder="1" applyAlignment="1">
      <alignment horizontal="left" vertical="top" wrapText="1"/>
    </xf>
    <xf numFmtId="0" fontId="7" fillId="0" borderId="1" xfId="0" applyFont="1" applyBorder="1" applyAlignment="1">
      <alignment horizontal="left" vertical="top" wrapText="1"/>
    </xf>
    <xf numFmtId="0" fontId="13" fillId="0" borderId="0" xfId="0" applyFont="1" applyAlignment="1">
      <alignment vertical="top" wrapText="1"/>
    </xf>
    <xf numFmtId="0" fontId="23" fillId="2" borderId="1" xfId="0" applyFont="1" applyFill="1" applyBorder="1" applyAlignment="1">
      <alignment vertical="top" wrapText="1"/>
    </xf>
    <xf numFmtId="0" fontId="5" fillId="6" borderId="1" xfId="0" applyFont="1" applyFill="1" applyBorder="1" applyAlignment="1">
      <alignment horizontal="left" vertical="top" wrapText="1"/>
    </xf>
    <xf numFmtId="0" fontId="38" fillId="0" borderId="0" xfId="1" applyFont="1" applyFill="1" applyAlignment="1">
      <alignment horizontal="left" vertical="top" wrapText="1"/>
    </xf>
    <xf numFmtId="0" fontId="40" fillId="2" borderId="1" xfId="0" applyFont="1" applyFill="1" applyBorder="1" applyAlignment="1">
      <alignment vertical="top" wrapText="1"/>
    </xf>
    <xf numFmtId="0" fontId="38" fillId="0" borderId="1" xfId="1" applyFont="1" applyBorder="1" applyAlignment="1">
      <alignment vertical="top" wrapText="1"/>
    </xf>
    <xf numFmtId="0" fontId="38" fillId="2" borderId="1" xfId="1" applyFont="1" applyFill="1" applyBorder="1" applyAlignment="1">
      <alignment vertical="top" wrapText="1"/>
    </xf>
    <xf numFmtId="0" fontId="38" fillId="4" borderId="0" xfId="1" applyFont="1" applyFill="1" applyAlignment="1">
      <alignment vertical="top" wrapText="1"/>
    </xf>
    <xf numFmtId="0" fontId="45" fillId="6" borderId="0" xfId="0" applyFont="1" applyFill="1" applyAlignment="1">
      <alignment vertical="top" wrapText="1"/>
    </xf>
    <xf numFmtId="0" fontId="38" fillId="0" borderId="0" xfId="1" applyFont="1" applyAlignment="1">
      <alignment vertical="top" wrapText="1"/>
    </xf>
    <xf numFmtId="0" fontId="41" fillId="0" borderId="0" xfId="0" applyFont="1" applyAlignment="1">
      <alignment vertical="top" wrapText="1"/>
    </xf>
    <xf numFmtId="0" fontId="43" fillId="0" borderId="1" xfId="0" applyFont="1" applyBorder="1" applyAlignment="1">
      <alignment vertical="top" wrapText="1"/>
    </xf>
    <xf numFmtId="0" fontId="38" fillId="6" borderId="1" xfId="1" applyFont="1" applyFill="1" applyBorder="1" applyAlignment="1">
      <alignment vertical="top" wrapText="1"/>
    </xf>
    <xf numFmtId="0" fontId="38" fillId="6" borderId="0" xfId="1" applyFont="1" applyFill="1" applyAlignment="1">
      <alignment vertical="top" wrapText="1"/>
    </xf>
    <xf numFmtId="0" fontId="46" fillId="2" borderId="1" xfId="1" applyFont="1" applyFill="1" applyBorder="1" applyAlignment="1">
      <alignment horizontal="left" vertical="top" wrapText="1"/>
    </xf>
    <xf numFmtId="14" fontId="47" fillId="0" borderId="1" xfId="0" applyNumberFormat="1" applyFont="1" applyBorder="1" applyAlignment="1">
      <alignment horizontal="left" vertical="top" wrapText="1"/>
    </xf>
    <xf numFmtId="0" fontId="0" fillId="2" borderId="1" xfId="0" applyFill="1" applyBorder="1" applyAlignment="1">
      <alignment horizontal="left" vertical="top"/>
    </xf>
    <xf numFmtId="0" fontId="47" fillId="2" borderId="1" xfId="0" applyFont="1" applyFill="1" applyBorder="1" applyAlignment="1">
      <alignment horizontal="left" vertical="top"/>
    </xf>
    <xf numFmtId="1" fontId="47" fillId="2" borderId="1" xfId="0" applyNumberFormat="1" applyFont="1" applyFill="1" applyBorder="1" applyAlignment="1">
      <alignment horizontal="left" vertical="top"/>
    </xf>
    <xf numFmtId="0" fontId="47" fillId="0" borderId="1" xfId="0" applyFont="1" applyBorder="1" applyAlignment="1">
      <alignment horizontal="left" vertical="top"/>
    </xf>
    <xf numFmtId="0" fontId="47" fillId="6" borderId="1" xfId="0" applyFont="1" applyFill="1" applyBorder="1" applyAlignment="1">
      <alignment horizontal="left" vertical="top"/>
    </xf>
    <xf numFmtId="0" fontId="47" fillId="6" borderId="1" xfId="0" applyFont="1" applyFill="1" applyBorder="1" applyAlignment="1">
      <alignment horizontal="left" vertical="top" wrapText="1"/>
    </xf>
    <xf numFmtId="0" fontId="47" fillId="2" borderId="1" xfId="0" applyFont="1" applyFill="1" applyBorder="1" applyAlignment="1">
      <alignment horizontal="left" vertical="top" wrapText="1"/>
    </xf>
    <xf numFmtId="14" fontId="47" fillId="2" borderId="1" xfId="0" applyNumberFormat="1" applyFont="1" applyFill="1" applyBorder="1" applyAlignment="1">
      <alignment horizontal="left" vertical="top"/>
    </xf>
    <xf numFmtId="0" fontId="48" fillId="2" borderId="1" xfId="0" applyFont="1" applyFill="1" applyBorder="1" applyAlignment="1">
      <alignment horizontal="left" vertical="top" wrapText="1"/>
    </xf>
    <xf numFmtId="0" fontId="50" fillId="4" borderId="1" xfId="0" applyFont="1" applyFill="1" applyBorder="1" applyAlignment="1">
      <alignment horizontal="left" vertical="top" wrapText="1"/>
    </xf>
    <xf numFmtId="49" fontId="47" fillId="2" borderId="1" xfId="0" applyNumberFormat="1" applyFont="1" applyFill="1" applyBorder="1" applyAlignment="1">
      <alignment horizontal="left" vertical="top" wrapText="1"/>
    </xf>
    <xf numFmtId="164" fontId="47" fillId="2" borderId="1" xfId="0" applyNumberFormat="1" applyFont="1" applyFill="1" applyBorder="1" applyAlignment="1">
      <alignment horizontal="left" vertical="top" wrapText="1"/>
    </xf>
    <xf numFmtId="0" fontId="46" fillId="2" borderId="1" xfId="1" applyFont="1" applyFill="1" applyBorder="1" applyAlignment="1">
      <alignment horizontal="left" vertical="top"/>
    </xf>
    <xf numFmtId="14" fontId="47" fillId="2" borderId="1" xfId="0" applyNumberFormat="1" applyFont="1" applyFill="1" applyBorder="1" applyAlignment="1">
      <alignment horizontal="left" vertical="top" wrapText="1"/>
    </xf>
    <xf numFmtId="0" fontId="47" fillId="0" borderId="1" xfId="0" applyFont="1" applyBorder="1" applyAlignment="1">
      <alignment horizontal="left" vertical="top" wrapText="1"/>
    </xf>
    <xf numFmtId="0" fontId="47" fillId="6" borderId="0" xfId="0" applyFont="1" applyFill="1" applyAlignment="1">
      <alignment horizontal="left" vertical="top"/>
    </xf>
    <xf numFmtId="0" fontId="47" fillId="0" borderId="0" xfId="0" applyFont="1" applyAlignment="1">
      <alignment horizontal="left" vertical="top" wrapText="1"/>
    </xf>
    <xf numFmtId="0" fontId="50" fillId="0" borderId="0" xfId="0" applyFont="1" applyAlignment="1">
      <alignment horizontal="left" vertical="top" wrapText="1"/>
    </xf>
    <xf numFmtId="0" fontId="52" fillId="0" borderId="0" xfId="0" applyFont="1" applyAlignment="1">
      <alignment horizontal="left" vertical="top" wrapText="1"/>
    </xf>
    <xf numFmtId="14" fontId="48" fillId="0" borderId="0" xfId="0" applyNumberFormat="1" applyFont="1" applyAlignment="1">
      <alignment horizontal="left" vertical="top"/>
    </xf>
    <xf numFmtId="0" fontId="53" fillId="6" borderId="1" xfId="0" applyFont="1" applyFill="1" applyBorder="1" applyAlignment="1">
      <alignment horizontal="left" vertical="top" wrapText="1"/>
    </xf>
    <xf numFmtId="0" fontId="53" fillId="3" borderId="1" xfId="0" applyFont="1" applyFill="1" applyBorder="1" applyAlignment="1">
      <alignment horizontal="left" vertical="top"/>
    </xf>
    <xf numFmtId="0" fontId="53" fillId="3" borderId="1" xfId="0" applyFont="1" applyFill="1" applyBorder="1" applyAlignment="1">
      <alignment horizontal="left" vertical="top" wrapText="1"/>
    </xf>
    <xf numFmtId="164" fontId="53" fillId="3" borderId="1" xfId="0" applyNumberFormat="1" applyFont="1" applyFill="1" applyBorder="1" applyAlignment="1">
      <alignment horizontal="left" vertical="top" wrapText="1"/>
    </xf>
    <xf numFmtId="1" fontId="53" fillId="3" borderId="1" xfId="0" applyNumberFormat="1" applyFont="1" applyFill="1" applyBorder="1" applyAlignment="1">
      <alignment horizontal="left" vertical="top" wrapText="1"/>
    </xf>
    <xf numFmtId="14" fontId="47" fillId="0" borderId="1" xfId="0" applyNumberFormat="1" applyFont="1" applyBorder="1" applyAlignment="1">
      <alignment horizontal="left" vertical="top"/>
    </xf>
    <xf numFmtId="0" fontId="47" fillId="2" borderId="0" xfId="0" applyFont="1" applyFill="1" applyAlignment="1">
      <alignment horizontal="left" vertical="top"/>
    </xf>
    <xf numFmtId="0" fontId="47" fillId="2" borderId="7" xfId="0" applyFont="1" applyFill="1" applyBorder="1" applyAlignment="1">
      <alignment horizontal="left" vertical="top"/>
    </xf>
    <xf numFmtId="0" fontId="47" fillId="2" borderId="8" xfId="0" applyFont="1" applyFill="1" applyBorder="1" applyAlignment="1">
      <alignment horizontal="left" vertical="top"/>
    </xf>
    <xf numFmtId="0" fontId="47" fillId="6" borderId="8" xfId="0" applyFont="1" applyFill="1" applyBorder="1" applyAlignment="1">
      <alignment horizontal="left" vertical="top"/>
    </xf>
    <xf numFmtId="1" fontId="54" fillId="2" borderId="1" xfId="0" applyNumberFormat="1" applyFont="1" applyFill="1" applyBorder="1" applyAlignment="1">
      <alignment horizontal="left" vertical="top" wrapText="1"/>
    </xf>
    <xf numFmtId="0" fontId="55" fillId="2" borderId="1" xfId="0" applyFont="1" applyFill="1" applyBorder="1" applyAlignment="1">
      <alignment horizontal="left" vertical="top"/>
    </xf>
    <xf numFmtId="1" fontId="54" fillId="2" borderId="1" xfId="0" applyNumberFormat="1" applyFont="1" applyFill="1" applyBorder="1" applyAlignment="1">
      <alignment horizontal="left" vertical="top"/>
    </xf>
    <xf numFmtId="0" fontId="46" fillId="0" borderId="0" xfId="1" applyFont="1" applyAlignment="1">
      <alignment horizontal="left" vertical="top" wrapText="1"/>
    </xf>
    <xf numFmtId="0" fontId="56" fillId="6" borderId="1" xfId="0" applyFont="1" applyFill="1" applyBorder="1" applyAlignment="1">
      <alignment horizontal="left" vertical="top" wrapText="1"/>
    </xf>
    <xf numFmtId="0" fontId="56" fillId="6" borderId="1" xfId="0" applyFont="1" applyFill="1" applyBorder="1" applyAlignment="1">
      <alignment horizontal="left" vertical="top"/>
    </xf>
    <xf numFmtId="0" fontId="56" fillId="3" borderId="1" xfId="0" applyFont="1" applyFill="1" applyBorder="1" applyAlignment="1">
      <alignment horizontal="left" vertical="top" wrapText="1"/>
    </xf>
    <xf numFmtId="0" fontId="56" fillId="3" borderId="1" xfId="0" applyFont="1" applyFill="1" applyBorder="1" applyAlignment="1">
      <alignment horizontal="left" vertical="top"/>
    </xf>
    <xf numFmtId="49" fontId="56" fillId="3" borderId="1" xfId="0" applyNumberFormat="1" applyFont="1" applyFill="1" applyBorder="1" applyAlignment="1">
      <alignment horizontal="left" vertical="top"/>
    </xf>
    <xf numFmtId="164" fontId="56" fillId="3" borderId="1" xfId="0" applyNumberFormat="1" applyFont="1" applyFill="1" applyBorder="1" applyAlignment="1">
      <alignment horizontal="left" vertical="top" wrapText="1"/>
    </xf>
    <xf numFmtId="1" fontId="56" fillId="6" borderId="1" xfId="0" applyNumberFormat="1" applyFont="1" applyFill="1" applyBorder="1" applyAlignment="1">
      <alignment horizontal="left" vertical="top"/>
    </xf>
    <xf numFmtId="1" fontId="56" fillId="7" borderId="1" xfId="0" applyNumberFormat="1" applyFont="1" applyFill="1" applyBorder="1" applyAlignment="1">
      <alignment horizontal="left" vertical="top"/>
    </xf>
    <xf numFmtId="0" fontId="47" fillId="2" borderId="15" xfId="0" applyFont="1" applyFill="1" applyBorder="1" applyAlignment="1">
      <alignment horizontal="left" vertical="top" wrapText="1"/>
    </xf>
    <xf numFmtId="0" fontId="47" fillId="6" borderId="7" xfId="0" applyFont="1" applyFill="1" applyBorder="1" applyAlignment="1">
      <alignment horizontal="left" vertical="top" wrapText="1"/>
    </xf>
    <xf numFmtId="0" fontId="47" fillId="2" borderId="7" xfId="0" applyFont="1" applyFill="1" applyBorder="1" applyAlignment="1">
      <alignment horizontal="left" vertical="top" wrapText="1"/>
    </xf>
    <xf numFmtId="14" fontId="47" fillId="2" borderId="7" xfId="0" applyNumberFormat="1" applyFont="1" applyFill="1" applyBorder="1" applyAlignment="1">
      <alignment horizontal="left" vertical="top" wrapText="1"/>
    </xf>
    <xf numFmtId="1" fontId="47" fillId="2" borderId="7" xfId="0" applyNumberFormat="1" applyFont="1" applyFill="1" applyBorder="1" applyAlignment="1">
      <alignment horizontal="left" vertical="top" wrapText="1"/>
    </xf>
    <xf numFmtId="0" fontId="47" fillId="2" borderId="16" xfId="0" applyFont="1" applyFill="1" applyBorder="1" applyAlignment="1">
      <alignment horizontal="left" vertical="top" wrapText="1"/>
    </xf>
    <xf numFmtId="0" fontId="57" fillId="3" borderId="11" xfId="0" applyFont="1" applyFill="1" applyBorder="1" applyAlignment="1">
      <alignment horizontal="left" vertical="top" wrapText="1"/>
    </xf>
    <xf numFmtId="0" fontId="57" fillId="6" borderId="8" xfId="0" applyFont="1" applyFill="1" applyBorder="1" applyAlignment="1">
      <alignment horizontal="left" vertical="top" wrapText="1"/>
    </xf>
    <xf numFmtId="0" fontId="58" fillId="3" borderId="1" xfId="0" applyFont="1" applyFill="1" applyBorder="1" applyAlignment="1">
      <alignment horizontal="left" vertical="top" wrapText="1"/>
    </xf>
    <xf numFmtId="17" fontId="7" fillId="6" borderId="1" xfId="0" applyNumberFormat="1" applyFont="1" applyFill="1" applyBorder="1" applyAlignment="1">
      <alignment horizontal="left" vertical="top"/>
    </xf>
    <xf numFmtId="0" fontId="9" fillId="2" borderId="1" xfId="0" applyFont="1" applyFill="1" applyBorder="1"/>
    <xf numFmtId="0" fontId="36" fillId="0" borderId="1" xfId="0" applyFont="1" applyBorder="1" applyAlignment="1">
      <alignment horizontal="left" vertical="top"/>
    </xf>
    <xf numFmtId="0" fontId="59" fillId="0" borderId="0" xfId="0" applyFont="1" applyAlignment="1">
      <alignment horizontal="left" vertical="top"/>
    </xf>
    <xf numFmtId="0" fontId="14" fillId="0" borderId="0" xfId="1"/>
    <xf numFmtId="0" fontId="14" fillId="0" borderId="0" xfId="1" applyAlignment="1">
      <alignment wrapText="1"/>
    </xf>
    <xf numFmtId="1" fontId="47" fillId="2" borderId="1" xfId="0" applyNumberFormat="1" applyFont="1" applyFill="1" applyBorder="1" applyAlignment="1">
      <alignment horizontal="left" vertical="top" wrapText="1"/>
    </xf>
    <xf numFmtId="0" fontId="48" fillId="2" borderId="1" xfId="0" applyFont="1" applyFill="1" applyBorder="1" applyAlignment="1">
      <alignment vertical="top" wrapText="1"/>
    </xf>
    <xf numFmtId="0" fontId="50" fillId="0" borderId="0" xfId="0" applyFont="1" applyAlignment="1">
      <alignment horizontal="left" vertical="top"/>
    </xf>
    <xf numFmtId="0" fontId="48" fillId="0" borderId="0" xfId="0" applyFont="1" applyAlignment="1">
      <alignment horizontal="left" vertical="top"/>
    </xf>
    <xf numFmtId="0" fontId="47" fillId="0" borderId="0" xfId="0" applyFont="1" applyAlignment="1">
      <alignment vertical="top" wrapText="1"/>
    </xf>
    <xf numFmtId="0" fontId="47" fillId="0" borderId="1" xfId="0" applyFont="1" applyBorder="1" applyAlignment="1">
      <alignment vertical="top" wrapText="1"/>
    </xf>
    <xf numFmtId="0" fontId="60" fillId="0" borderId="0" xfId="0" applyFont="1" applyAlignment="1">
      <alignment vertical="top"/>
    </xf>
    <xf numFmtId="0" fontId="46" fillId="0" borderId="0" xfId="1" applyFont="1"/>
    <xf numFmtId="0" fontId="48" fillId="0" borderId="0" xfId="0" applyFont="1" applyAlignment="1">
      <alignment vertical="top" wrapText="1"/>
    </xf>
    <xf numFmtId="0" fontId="47" fillId="0" borderId="0" xfId="0" applyFont="1"/>
    <xf numFmtId="0" fontId="47" fillId="2" borderId="1" xfId="0" applyFont="1" applyFill="1" applyBorder="1" applyAlignment="1">
      <alignment vertical="center"/>
    </xf>
    <xf numFmtId="0" fontId="48" fillId="5" borderId="2" xfId="0" applyFont="1" applyFill="1" applyBorder="1"/>
    <xf numFmtId="0" fontId="48" fillId="5" borderId="2" xfId="0" applyFont="1" applyFill="1" applyBorder="1" applyAlignment="1">
      <alignment wrapText="1"/>
    </xf>
    <xf numFmtId="0" fontId="48" fillId="5" borderId="0" xfId="0" applyFont="1" applyFill="1"/>
    <xf numFmtId="0" fontId="48" fillId="5" borderId="17" xfId="0" applyFont="1" applyFill="1" applyBorder="1"/>
    <xf numFmtId="0" fontId="48" fillId="0" borderId="2" xfId="0" applyFont="1" applyBorder="1" applyAlignment="1">
      <alignment wrapText="1"/>
    </xf>
    <xf numFmtId="0" fontId="48" fillId="5" borderId="4" xfId="0" applyFont="1" applyFill="1" applyBorder="1"/>
    <xf numFmtId="0" fontId="48" fillId="0" borderId="0" xfId="0" applyFont="1" applyAlignment="1">
      <alignment wrapText="1"/>
    </xf>
    <xf numFmtId="0" fontId="48" fillId="8" borderId="0" xfId="0" applyFont="1" applyFill="1" applyAlignment="1">
      <alignment wrapText="1"/>
    </xf>
    <xf numFmtId="0" fontId="47" fillId="2" borderId="1" xfId="0" applyFont="1" applyFill="1" applyBorder="1" applyAlignment="1">
      <alignment vertical="top"/>
    </xf>
    <xf numFmtId="0" fontId="47" fillId="6" borderId="1" xfId="0" applyFont="1" applyFill="1" applyBorder="1" applyAlignment="1">
      <alignment vertical="top" wrapText="1"/>
    </xf>
    <xf numFmtId="49" fontId="47" fillId="0" borderId="1" xfId="0" applyNumberFormat="1" applyFont="1" applyBorder="1" applyAlignment="1">
      <alignment vertical="top" wrapText="1"/>
    </xf>
    <xf numFmtId="0" fontId="48" fillId="8" borderId="1" xfId="0" applyFont="1" applyFill="1" applyBorder="1"/>
    <xf numFmtId="0" fontId="48" fillId="5" borderId="1" xfId="0" applyFont="1" applyFill="1" applyBorder="1"/>
    <xf numFmtId="0" fontId="48" fillId="5" borderId="1" xfId="0" applyFont="1" applyFill="1" applyBorder="1" applyAlignment="1">
      <alignment wrapText="1"/>
    </xf>
    <xf numFmtId="0" fontId="47" fillId="0" borderId="1" xfId="0" applyFont="1" applyBorder="1" applyAlignment="1">
      <alignment vertical="top"/>
    </xf>
    <xf numFmtId="0" fontId="47" fillId="6" borderId="1" xfId="0" applyFont="1" applyFill="1" applyBorder="1" applyAlignment="1">
      <alignment vertical="top"/>
    </xf>
    <xf numFmtId="0" fontId="61" fillId="0" borderId="1" xfId="0" applyFont="1" applyBorder="1" applyAlignment="1">
      <alignment vertical="top" wrapText="1"/>
    </xf>
    <xf numFmtId="0" fontId="61" fillId="0" borderId="1" xfId="0" applyFont="1" applyBorder="1" applyAlignment="1">
      <alignment vertical="top"/>
    </xf>
    <xf numFmtId="0" fontId="46" fillId="0" borderId="1" xfId="1" applyFont="1" applyBorder="1" applyAlignment="1">
      <alignment vertical="top"/>
    </xf>
    <xf numFmtId="0" fontId="46" fillId="0" borderId="1" xfId="1" applyFont="1" applyBorder="1" applyAlignment="1">
      <alignment vertical="top" wrapText="1"/>
    </xf>
    <xf numFmtId="0" fontId="46" fillId="2" borderId="1" xfId="1" applyFont="1" applyFill="1" applyBorder="1" applyAlignment="1">
      <alignment vertical="top" wrapText="1"/>
    </xf>
    <xf numFmtId="49" fontId="47" fillId="0" borderId="1" xfId="0" applyNumberFormat="1" applyFont="1" applyBorder="1" applyAlignment="1">
      <alignment vertical="top"/>
    </xf>
    <xf numFmtId="1" fontId="50" fillId="2" borderId="1" xfId="0" applyNumberFormat="1" applyFont="1" applyFill="1" applyBorder="1" applyAlignment="1">
      <alignment horizontal="left" vertical="top" wrapText="1"/>
    </xf>
    <xf numFmtId="1" fontId="50" fillId="2" borderId="1" xfId="0" applyNumberFormat="1" applyFont="1" applyFill="1" applyBorder="1" applyAlignment="1">
      <alignment horizontal="left" vertical="top"/>
    </xf>
    <xf numFmtId="0" fontId="47" fillId="2" borderId="8" xfId="0" applyFont="1" applyFill="1" applyBorder="1" applyAlignment="1">
      <alignment horizontal="left" vertical="top" wrapText="1"/>
    </xf>
    <xf numFmtId="0" fontId="48" fillId="6" borderId="1" xfId="0" applyFont="1" applyFill="1" applyBorder="1" applyAlignment="1">
      <alignment horizontal="left" vertical="top" wrapText="1"/>
    </xf>
    <xf numFmtId="164" fontId="48" fillId="2" borderId="1" xfId="0" applyNumberFormat="1" applyFont="1" applyFill="1" applyBorder="1" applyAlignment="1">
      <alignment horizontal="left" vertical="top" wrapText="1"/>
    </xf>
    <xf numFmtId="49" fontId="48" fillId="2" borderId="1" xfId="0" applyNumberFormat="1" applyFont="1" applyFill="1" applyBorder="1" applyAlignment="1">
      <alignment horizontal="left" vertical="top" wrapText="1"/>
    </xf>
    <xf numFmtId="165" fontId="48" fillId="2" borderId="1" xfId="0" applyNumberFormat="1" applyFont="1" applyFill="1" applyBorder="1" applyAlignment="1">
      <alignment horizontal="left" vertical="top" wrapText="1"/>
    </xf>
    <xf numFmtId="0" fontId="62" fillId="2" borderId="1" xfId="1" applyFont="1" applyFill="1" applyBorder="1" applyAlignment="1">
      <alignment horizontal="left" vertical="top" wrapText="1"/>
    </xf>
    <xf numFmtId="0" fontId="48" fillId="2" borderId="7" xfId="0" applyFont="1" applyFill="1" applyBorder="1" applyAlignment="1">
      <alignment horizontal="left" vertical="top" wrapText="1"/>
    </xf>
    <xf numFmtId="0" fontId="55" fillId="0" borderId="0" xfId="0" applyFont="1" applyAlignment="1">
      <alignment horizontal="left" vertical="top" wrapText="1"/>
    </xf>
    <xf numFmtId="0" fontId="48" fillId="2" borderId="6" xfId="0" applyFont="1" applyFill="1" applyBorder="1" applyAlignment="1">
      <alignment horizontal="left" vertical="top" wrapText="1"/>
    </xf>
    <xf numFmtId="0" fontId="48" fillId="0" borderId="0" xfId="0" applyFont="1" applyAlignment="1">
      <alignment horizontal="left" vertical="top" wrapText="1"/>
    </xf>
    <xf numFmtId="0" fontId="48" fillId="0" borderId="1" xfId="0" applyFont="1" applyBorder="1" applyAlignment="1">
      <alignment horizontal="left" vertical="top" wrapText="1"/>
    </xf>
    <xf numFmtId="0" fontId="48" fillId="4" borderId="0" xfId="0" applyFont="1" applyFill="1" applyAlignment="1">
      <alignment horizontal="left" vertical="top" wrapText="1"/>
    </xf>
    <xf numFmtId="0" fontId="49" fillId="0" borderId="0" xfId="0" applyFont="1" applyAlignment="1">
      <alignment horizontal="left" vertical="top" wrapText="1"/>
    </xf>
    <xf numFmtId="14" fontId="48" fillId="2" borderId="1" xfId="0" applyNumberFormat="1" applyFont="1" applyFill="1" applyBorder="1" applyAlignment="1">
      <alignment horizontal="left" vertical="top" wrapText="1"/>
    </xf>
    <xf numFmtId="0" fontId="48" fillId="6" borderId="0" xfId="0" applyFont="1" applyFill="1" applyAlignment="1">
      <alignment horizontal="left" vertical="top" wrapText="1"/>
    </xf>
    <xf numFmtId="0" fontId="47" fillId="2" borderId="1" xfId="0" applyFont="1" applyFill="1" applyBorder="1" applyAlignment="1">
      <alignment horizontal="center" vertical="top" wrapText="1"/>
    </xf>
    <xf numFmtId="0" fontId="64" fillId="2" borderId="10" xfId="0" applyFont="1" applyFill="1" applyBorder="1" applyAlignment="1">
      <alignment horizontal="left" vertical="top" wrapText="1"/>
    </xf>
    <xf numFmtId="0" fontId="48" fillId="4" borderId="10" xfId="0" applyFont="1" applyFill="1" applyBorder="1" applyAlignment="1">
      <alignment horizontal="left" vertical="top" wrapText="1"/>
    </xf>
    <xf numFmtId="0" fontId="48" fillId="0" borderId="1" xfId="0" applyFont="1" applyBorder="1" applyAlignment="1">
      <alignment vertical="top"/>
    </xf>
    <xf numFmtId="0" fontId="48" fillId="0" borderId="1" xfId="0" applyFont="1" applyBorder="1" applyAlignment="1">
      <alignment vertical="top" wrapText="1"/>
    </xf>
    <xf numFmtId="0" fontId="47" fillId="6" borderId="0" xfId="0" applyFont="1" applyFill="1" applyAlignment="1">
      <alignment horizontal="left" vertical="top" wrapText="1"/>
    </xf>
    <xf numFmtId="0" fontId="47" fillId="2" borderId="1" xfId="0" applyFont="1" applyFill="1" applyBorder="1" applyAlignment="1">
      <alignment vertical="top" wrapText="1"/>
    </xf>
    <xf numFmtId="0" fontId="50" fillId="2" borderId="1" xfId="0" applyFont="1" applyFill="1" applyBorder="1" applyAlignment="1">
      <alignment vertical="top" wrapText="1"/>
    </xf>
    <xf numFmtId="0" fontId="48" fillId="6" borderId="1" xfId="0" applyFont="1" applyFill="1" applyBorder="1" applyAlignment="1">
      <alignment vertical="top" wrapText="1"/>
    </xf>
    <xf numFmtId="0" fontId="52" fillId="2" borderId="1" xfId="0" applyFont="1" applyFill="1" applyBorder="1" applyAlignment="1">
      <alignment vertical="top" wrapText="1"/>
    </xf>
    <xf numFmtId="0" fontId="65" fillId="2" borderId="1" xfId="0" applyFont="1" applyFill="1" applyBorder="1" applyAlignment="1">
      <alignment vertical="top" wrapText="1"/>
    </xf>
    <xf numFmtId="0" fontId="47" fillId="2" borderId="0" xfId="0" applyFont="1" applyFill="1" applyAlignment="1">
      <alignment vertical="top" wrapText="1"/>
    </xf>
    <xf numFmtId="0" fontId="46" fillId="4" borderId="0" xfId="1" applyFont="1" applyFill="1" applyAlignment="1">
      <alignment vertical="top" wrapText="1"/>
    </xf>
    <xf numFmtId="0" fontId="52" fillId="6" borderId="1" xfId="0" applyFont="1" applyFill="1" applyBorder="1" applyAlignment="1">
      <alignment vertical="top" wrapText="1"/>
    </xf>
    <xf numFmtId="0" fontId="52" fillId="0" borderId="1" xfId="0" applyFont="1" applyBorder="1" applyAlignment="1">
      <alignment vertical="top" wrapText="1"/>
    </xf>
    <xf numFmtId="0" fontId="52" fillId="0" borderId="1" xfId="0" applyFont="1" applyBorder="1" applyAlignment="1">
      <alignment horizontal="left" vertical="top" wrapText="1"/>
    </xf>
    <xf numFmtId="0" fontId="52" fillId="0" borderId="0" xfId="0" applyFont="1" applyAlignment="1">
      <alignment vertical="top" wrapText="1"/>
    </xf>
    <xf numFmtId="0" fontId="52" fillId="2" borderId="1" xfId="0" applyFont="1" applyFill="1" applyBorder="1" applyAlignment="1">
      <alignment horizontal="left" vertical="top" wrapText="1"/>
    </xf>
    <xf numFmtId="0" fontId="66" fillId="6" borderId="0" xfId="0" applyFont="1" applyFill="1" applyAlignment="1">
      <alignment vertical="top" wrapText="1"/>
    </xf>
    <xf numFmtId="0" fontId="47" fillId="2" borderId="8" xfId="0" applyFont="1" applyFill="1" applyBorder="1" applyAlignment="1">
      <alignment vertical="top" wrapText="1"/>
    </xf>
    <xf numFmtId="0" fontId="50" fillId="0" borderId="0" xfId="0" applyFont="1" applyAlignment="1">
      <alignment vertical="top" wrapText="1"/>
    </xf>
    <xf numFmtId="0" fontId="46" fillId="0" borderId="0" xfId="1" applyFont="1" applyAlignment="1">
      <alignment vertical="top" wrapText="1"/>
    </xf>
    <xf numFmtId="14" fontId="47" fillId="2" borderId="1" xfId="0" applyNumberFormat="1" applyFont="1" applyFill="1" applyBorder="1" applyAlignment="1">
      <alignment vertical="top" wrapText="1"/>
    </xf>
    <xf numFmtId="0" fontId="61" fillId="0" borderId="0" xfId="0" applyFont="1" applyAlignment="1">
      <alignment vertical="top" wrapText="1"/>
    </xf>
    <xf numFmtId="0" fontId="67" fillId="0" borderId="0" xfId="0" applyFont="1" applyAlignment="1">
      <alignment vertical="top" wrapText="1"/>
    </xf>
    <xf numFmtId="0" fontId="68" fillId="0" borderId="0" xfId="0" applyFont="1" applyAlignment="1">
      <alignment vertical="top" wrapText="1"/>
    </xf>
    <xf numFmtId="0" fontId="68" fillId="0" borderId="1" xfId="0" applyFont="1" applyBorder="1" applyAlignment="1">
      <alignment vertical="top" wrapText="1"/>
    </xf>
    <xf numFmtId="0" fontId="46" fillId="6" borderId="1" xfId="1" applyFont="1" applyFill="1" applyBorder="1" applyAlignment="1">
      <alignment vertical="top" wrapText="1"/>
    </xf>
    <xf numFmtId="0" fontId="69" fillId="4" borderId="0" xfId="0" applyFont="1" applyFill="1" applyAlignment="1">
      <alignment vertical="top" wrapText="1"/>
    </xf>
    <xf numFmtId="0" fontId="48" fillId="6" borderId="0" xfId="0" applyFont="1" applyFill="1" applyAlignment="1">
      <alignment vertical="top" wrapText="1"/>
    </xf>
    <xf numFmtId="0" fontId="48" fillId="8" borderId="2" xfId="0" applyFont="1" applyFill="1" applyBorder="1"/>
    <xf numFmtId="0" fontId="48" fillId="8" borderId="2" xfId="0" applyFont="1" applyFill="1" applyBorder="1" applyAlignment="1">
      <alignment wrapText="1"/>
    </xf>
    <xf numFmtId="0" fontId="48" fillId="5" borderId="3" xfId="0" applyFont="1" applyFill="1" applyBorder="1" applyAlignment="1">
      <alignment wrapText="1"/>
    </xf>
    <xf numFmtId="0" fontId="48" fillId="8" borderId="3" xfId="0" applyFont="1" applyFill="1" applyBorder="1"/>
    <xf numFmtId="0" fontId="48" fillId="5" borderId="3" xfId="0" applyFont="1" applyFill="1" applyBorder="1"/>
    <xf numFmtId="0" fontId="48" fillId="8" borderId="5" xfId="0" applyFont="1" applyFill="1" applyBorder="1"/>
    <xf numFmtId="0" fontId="48" fillId="5" borderId="4" xfId="0" applyFont="1" applyFill="1" applyBorder="1" applyAlignment="1">
      <alignment wrapText="1"/>
    </xf>
    <xf numFmtId="0" fontId="48" fillId="5" borderId="5" xfId="0" applyFont="1" applyFill="1" applyBorder="1" applyAlignment="1">
      <alignment wrapText="1"/>
    </xf>
    <xf numFmtId="0" fontId="48" fillId="5" borderId="5" xfId="0" applyFont="1" applyFill="1" applyBorder="1"/>
    <xf numFmtId="0" fontId="50" fillId="0" borderId="0" xfId="0" applyFont="1" applyAlignment="1">
      <alignment wrapText="1"/>
    </xf>
    <xf numFmtId="0" fontId="48" fillId="0" borderId="1" xfId="0" applyFont="1" applyBorder="1" applyAlignment="1">
      <alignment wrapText="1"/>
    </xf>
    <xf numFmtId="0" fontId="69" fillId="0" borderId="1" xfId="0" applyFont="1" applyBorder="1" applyAlignment="1">
      <alignment wrapText="1"/>
    </xf>
    <xf numFmtId="0" fontId="48" fillId="5" borderId="1" xfId="0" applyFont="1" applyFill="1" applyBorder="1" applyAlignment="1">
      <alignment horizontal="left" vertical="top"/>
    </xf>
    <xf numFmtId="0" fontId="48" fillId="0" borderId="1" xfId="0" applyFont="1" applyBorder="1"/>
    <xf numFmtId="14" fontId="47" fillId="2" borderId="1" xfId="0" applyNumberFormat="1" applyFont="1" applyFill="1" applyBorder="1" applyAlignment="1">
      <alignment vertical="top"/>
    </xf>
    <xf numFmtId="0" fontId="48" fillId="0" borderId="2" xfId="0" applyFont="1" applyBorder="1"/>
    <xf numFmtId="0" fontId="47" fillId="2" borderId="9" xfId="0" applyFont="1" applyFill="1" applyBorder="1" applyAlignment="1">
      <alignment horizontal="left" vertical="top"/>
    </xf>
    <xf numFmtId="0" fontId="48" fillId="2" borderId="9" xfId="0" applyFont="1" applyFill="1" applyBorder="1" applyAlignment="1">
      <alignment horizontal="left" vertical="top" wrapText="1"/>
    </xf>
    <xf numFmtId="0" fontId="47" fillId="2" borderId="9" xfId="0" applyFont="1" applyFill="1" applyBorder="1" applyAlignment="1">
      <alignment horizontal="left" vertical="top" wrapText="1"/>
    </xf>
    <xf numFmtId="0" fontId="47" fillId="2" borderId="15" xfId="0" applyFont="1" applyFill="1" applyBorder="1" applyAlignment="1">
      <alignment horizontal="left" vertical="top"/>
    </xf>
    <xf numFmtId="0" fontId="47" fillId="2" borderId="7" xfId="0" applyFont="1" applyFill="1" applyBorder="1" applyAlignment="1">
      <alignment vertical="top"/>
    </xf>
    <xf numFmtId="0" fontId="47" fillId="6" borderId="7" xfId="0" applyFont="1" applyFill="1" applyBorder="1" applyAlignment="1">
      <alignment vertical="top"/>
    </xf>
    <xf numFmtId="0" fontId="47" fillId="0" borderId="7" xfId="0" applyFont="1" applyBorder="1" applyAlignment="1">
      <alignment vertical="top" wrapText="1"/>
    </xf>
    <xf numFmtId="0" fontId="47" fillId="0" borderId="7" xfId="0" applyFont="1" applyBorder="1" applyAlignment="1">
      <alignment vertical="top"/>
    </xf>
    <xf numFmtId="49" fontId="47" fillId="0" borderId="7" xfId="0" applyNumberFormat="1" applyFont="1" applyBorder="1" applyAlignment="1">
      <alignment vertical="top"/>
    </xf>
    <xf numFmtId="14" fontId="47" fillId="0" borderId="7" xfId="0" applyNumberFormat="1" applyFont="1" applyBorder="1" applyAlignment="1">
      <alignment vertical="top"/>
    </xf>
    <xf numFmtId="0" fontId="0" fillId="0" borderId="7" xfId="0" applyBorder="1" applyAlignment="1">
      <alignment vertical="top" wrapText="1"/>
    </xf>
    <xf numFmtId="0" fontId="47" fillId="0" borderId="7" xfId="0" applyFont="1" applyBorder="1" applyAlignment="1">
      <alignment horizontal="left" vertical="top"/>
    </xf>
    <xf numFmtId="0" fontId="72" fillId="6" borderId="11" xfId="0" applyFont="1" applyFill="1" applyBorder="1" applyAlignment="1">
      <alignment horizontal="left" vertical="top" wrapText="1"/>
    </xf>
    <xf numFmtId="0" fontId="72" fillId="6" borderId="8" xfId="0" applyFont="1" applyFill="1" applyBorder="1" applyAlignment="1">
      <alignment horizontal="left" vertical="top" wrapText="1"/>
    </xf>
    <xf numFmtId="0" fontId="72" fillId="6" borderId="8" xfId="0" applyFont="1" applyFill="1" applyBorder="1" applyAlignment="1">
      <alignment horizontal="left" vertical="top"/>
    </xf>
    <xf numFmtId="0" fontId="72" fillId="3" borderId="8" xfId="0" applyFont="1" applyFill="1" applyBorder="1" applyAlignment="1">
      <alignment horizontal="left" vertical="top"/>
    </xf>
    <xf numFmtId="49" fontId="72" fillId="3" borderId="8" xfId="0" applyNumberFormat="1" applyFont="1" applyFill="1" applyBorder="1" applyAlignment="1">
      <alignment horizontal="left" vertical="top"/>
    </xf>
    <xf numFmtId="164" fontId="72" fillId="3" borderId="8" xfId="0" applyNumberFormat="1" applyFont="1" applyFill="1" applyBorder="1" applyAlignment="1">
      <alignment horizontal="left" vertical="top" wrapText="1"/>
    </xf>
    <xf numFmtId="1" fontId="72" fillId="6" borderId="8" xfId="0" applyNumberFormat="1" applyFont="1" applyFill="1" applyBorder="1" applyAlignment="1">
      <alignment horizontal="left" vertical="top"/>
    </xf>
    <xf numFmtId="1" fontId="72" fillId="7" borderId="8" xfId="0" applyNumberFormat="1" applyFont="1" applyFill="1" applyBorder="1" applyAlignment="1">
      <alignment horizontal="left" vertical="top"/>
    </xf>
    <xf numFmtId="0" fontId="72" fillId="3" borderId="1" xfId="0" applyFont="1" applyFill="1" applyBorder="1" applyAlignment="1">
      <alignment horizontal="left" vertical="top"/>
    </xf>
    <xf numFmtId="0" fontId="38" fillId="0" borderId="0" xfId="1" applyFont="1" applyBorder="1" applyAlignment="1">
      <alignment vertical="top" wrapText="1"/>
    </xf>
    <xf numFmtId="0" fontId="38" fillId="6" borderId="0" xfId="1" applyFont="1" applyFill="1" applyBorder="1" applyAlignment="1">
      <alignment vertical="top" wrapText="1"/>
    </xf>
    <xf numFmtId="0" fontId="7" fillId="10" borderId="1" xfId="0" applyFont="1" applyFill="1" applyBorder="1" applyAlignment="1">
      <alignment horizontal="left" vertical="top" wrapText="1"/>
    </xf>
    <xf numFmtId="0" fontId="42" fillId="10" borderId="0" xfId="0" applyFont="1" applyFill="1" applyAlignment="1">
      <alignment vertical="top" wrapText="1"/>
    </xf>
    <xf numFmtId="0" fontId="38" fillId="10" borderId="1" xfId="1" applyFont="1" applyFill="1" applyBorder="1" applyAlignment="1">
      <alignment vertical="top" wrapText="1"/>
    </xf>
    <xf numFmtId="0" fontId="43" fillId="0" borderId="0" xfId="0" applyFont="1" applyAlignment="1">
      <alignment vertical="top" wrapText="1"/>
    </xf>
    <xf numFmtId="0" fontId="44" fillId="4" borderId="0" xfId="0" applyFont="1" applyFill="1" applyAlignment="1">
      <alignment vertical="top" wrapText="1"/>
    </xf>
    <xf numFmtId="0" fontId="14" fillId="4" borderId="0" xfId="1" applyFill="1" applyBorder="1" applyAlignment="1">
      <alignment wrapText="1"/>
    </xf>
    <xf numFmtId="0" fontId="71" fillId="0" borderId="0" xfId="0" applyFont="1" applyAlignment="1">
      <alignment horizontal="left" vertical="top" wrapText="1"/>
    </xf>
    <xf numFmtId="0" fontId="79" fillId="0" borderId="0" xfId="0" applyFont="1" applyAlignment="1">
      <alignment horizontal="left" vertical="top" wrapText="1"/>
    </xf>
    <xf numFmtId="0" fontId="80" fillId="0" borderId="0" xfId="0" applyFont="1" applyAlignment="1">
      <alignment horizontal="left" vertical="top" wrapText="1"/>
    </xf>
    <xf numFmtId="0" fontId="9" fillId="0" borderId="0" xfId="0" applyFont="1" applyAlignment="1">
      <alignment horizontal="left" vertical="top" wrapText="1"/>
    </xf>
    <xf numFmtId="0" fontId="7" fillId="6"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9" fillId="0" borderId="0" xfId="0" applyFont="1" applyAlignment="1">
      <alignment horizontal="left" vertical="center" wrapText="1"/>
    </xf>
    <xf numFmtId="0" fontId="2" fillId="2" borderId="1" xfId="0" applyFont="1" applyFill="1" applyBorder="1" applyAlignment="1">
      <alignment vertical="center"/>
    </xf>
    <xf numFmtId="0" fontId="53" fillId="3" borderId="1" xfId="0" applyFont="1" applyFill="1" applyBorder="1" applyAlignment="1">
      <alignment vertical="center" wrapText="1"/>
    </xf>
    <xf numFmtId="49" fontId="53" fillId="3" borderId="1" xfId="0" applyNumberFormat="1" applyFont="1" applyFill="1" applyBorder="1" applyAlignment="1">
      <alignment vertical="center" wrapText="1"/>
    </xf>
    <xf numFmtId="164" fontId="53" fillId="3" borderId="1" xfId="0" applyNumberFormat="1" applyFont="1" applyFill="1" applyBorder="1" applyAlignment="1">
      <alignment vertical="center" wrapText="1"/>
    </xf>
    <xf numFmtId="1" fontId="53" fillId="3" borderId="1" xfId="0" applyNumberFormat="1" applyFont="1" applyFill="1" applyBorder="1" applyAlignment="1">
      <alignment vertical="center" wrapText="1"/>
    </xf>
    <xf numFmtId="0" fontId="83" fillId="3" borderId="1" xfId="0" applyFont="1" applyFill="1" applyBorder="1" applyAlignment="1">
      <alignment vertical="center" wrapText="1"/>
    </xf>
    <xf numFmtId="0" fontId="84" fillId="4" borderId="1" xfId="0" applyFont="1" applyFill="1" applyBorder="1" applyAlignment="1">
      <alignment horizontal="left" vertical="top" wrapText="1"/>
    </xf>
    <xf numFmtId="0" fontId="2" fillId="6" borderId="1" xfId="0" applyFont="1" applyFill="1" applyBorder="1" applyAlignment="1">
      <alignment vertical="center"/>
    </xf>
    <xf numFmtId="1" fontId="2" fillId="2" borderId="1" xfId="0" applyNumberFormat="1" applyFont="1" applyFill="1" applyBorder="1" applyAlignment="1">
      <alignment vertical="center"/>
    </xf>
    <xf numFmtId="0" fontId="7" fillId="6" borderId="0" xfId="0" applyFont="1" applyFill="1" applyAlignment="1">
      <alignment horizontal="left" vertical="top" wrapText="1"/>
    </xf>
    <xf numFmtId="0" fontId="7" fillId="2" borderId="0" xfId="0" applyFont="1" applyFill="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6" borderId="1" xfId="0" applyFont="1" applyFill="1" applyBorder="1" applyAlignment="1">
      <alignment horizontal="left" vertical="top"/>
    </xf>
    <xf numFmtId="14" fontId="1" fillId="2" borderId="1" xfId="0" applyNumberFormat="1" applyFont="1" applyFill="1" applyBorder="1" applyAlignment="1">
      <alignment horizontal="left" vertical="top"/>
    </xf>
    <xf numFmtId="0" fontId="1" fillId="0" borderId="1" xfId="0" applyFont="1" applyBorder="1" applyAlignment="1">
      <alignment horizontal="left" vertical="top"/>
    </xf>
    <xf numFmtId="0" fontId="1" fillId="2" borderId="1" xfId="0" applyFont="1" applyFill="1" applyBorder="1" applyAlignment="1">
      <alignment vertical="center"/>
    </xf>
    <xf numFmtId="0" fontId="1" fillId="6"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164" fontId="1" fillId="2" borderId="1" xfId="0" applyNumberFormat="1" applyFont="1" applyFill="1" applyBorder="1" applyAlignment="1">
      <alignment horizontal="left" vertical="top" wrapText="1"/>
    </xf>
    <xf numFmtId="1" fontId="1" fillId="2" borderId="1" xfId="0" applyNumberFormat="1" applyFont="1" applyFill="1" applyBorder="1" applyAlignment="1">
      <alignment horizontal="left" vertical="top"/>
    </xf>
    <xf numFmtId="14" fontId="1" fillId="2" borderId="1" xfId="0" applyNumberFormat="1" applyFont="1" applyFill="1" applyBorder="1" applyAlignment="1">
      <alignment horizontal="left" vertical="top" wrapText="1"/>
    </xf>
    <xf numFmtId="0" fontId="1" fillId="0" borderId="0" xfId="0" applyFont="1" applyAlignment="1">
      <alignment wrapText="1"/>
    </xf>
    <xf numFmtId="0" fontId="1" fillId="0" borderId="0" xfId="0" applyFont="1"/>
    <xf numFmtId="1" fontId="1" fillId="2" borderId="1" xfId="0" applyNumberFormat="1" applyFont="1" applyFill="1" applyBorder="1" applyAlignment="1">
      <alignment horizontal="left" vertical="top" wrapText="1"/>
    </xf>
    <xf numFmtId="0" fontId="1" fillId="2" borderId="7" xfId="0" applyFont="1" applyFill="1" applyBorder="1" applyAlignment="1">
      <alignment horizontal="left" vertical="top"/>
    </xf>
    <xf numFmtId="0" fontId="1" fillId="6" borderId="7" xfId="0" applyFont="1" applyFill="1" applyBorder="1" applyAlignment="1">
      <alignment horizontal="left" vertical="top"/>
    </xf>
    <xf numFmtId="0" fontId="1" fillId="0" borderId="1" xfId="0" applyFont="1" applyBorder="1" applyAlignment="1">
      <alignment vertical="center" wrapText="1"/>
    </xf>
    <xf numFmtId="0" fontId="1" fillId="6" borderId="1" xfId="0" applyFont="1" applyFill="1" applyBorder="1" applyAlignment="1">
      <alignment vertical="center" wrapText="1"/>
    </xf>
    <xf numFmtId="1" fontId="1" fillId="2" borderId="1" xfId="0" applyNumberFormat="1" applyFont="1" applyFill="1" applyBorder="1" applyAlignment="1">
      <alignment vertical="center"/>
    </xf>
    <xf numFmtId="0" fontId="1" fillId="2" borderId="8" xfId="0" applyFont="1" applyFill="1" applyBorder="1" applyAlignment="1">
      <alignment vertical="center"/>
    </xf>
    <xf numFmtId="0" fontId="1" fillId="6" borderId="8" xfId="0" applyFont="1" applyFill="1" applyBorder="1" applyAlignment="1">
      <alignment vertical="center"/>
    </xf>
    <xf numFmtId="0" fontId="0" fillId="0" borderId="0" xfId="0" applyAlignment="1">
      <alignment wrapText="1"/>
    </xf>
    <xf numFmtId="164" fontId="9" fillId="2" borderId="1" xfId="0" applyNumberFormat="1" applyFont="1" applyFill="1" applyBorder="1" applyAlignment="1">
      <alignment horizontal="left" vertical="top" wrapText="1"/>
    </xf>
    <xf numFmtId="49" fontId="9" fillId="2" borderId="1" xfId="0" applyNumberFormat="1" applyFont="1" applyFill="1" applyBorder="1" applyAlignment="1">
      <alignment horizontal="left" vertical="top" wrapText="1"/>
    </xf>
    <xf numFmtId="165" fontId="9" fillId="2" borderId="1" xfId="0" applyNumberFormat="1" applyFont="1" applyFill="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2" borderId="6" xfId="0" applyFont="1" applyFill="1" applyBorder="1" applyAlignment="1">
      <alignment horizontal="left" vertical="top" wrapText="1"/>
    </xf>
    <xf numFmtId="0" fontId="9" fillId="4" borderId="13" xfId="0" applyFont="1" applyFill="1" applyBorder="1" applyAlignment="1">
      <alignment horizontal="left" vertical="top" wrapText="1"/>
    </xf>
    <xf numFmtId="0" fontId="9" fillId="4" borderId="9" xfId="0" applyFont="1" applyFill="1" applyBorder="1" applyAlignment="1">
      <alignment horizontal="left" vertical="top" wrapText="1"/>
    </xf>
    <xf numFmtId="0" fontId="9" fillId="4" borderId="0" xfId="0" applyFont="1" applyFill="1" applyAlignment="1">
      <alignment horizontal="left" vertical="top" wrapText="1"/>
    </xf>
    <xf numFmtId="14" fontId="9" fillId="2" borderId="1" xfId="0" applyNumberFormat="1" applyFont="1" applyFill="1" applyBorder="1" applyAlignment="1">
      <alignment horizontal="left" vertical="top" wrapText="1"/>
    </xf>
    <xf numFmtId="0" fontId="9" fillId="6" borderId="0" xfId="0" applyFont="1" applyFill="1" applyAlignment="1">
      <alignment horizontal="left" vertical="top" wrapText="1"/>
    </xf>
    <xf numFmtId="0" fontId="7" fillId="0" borderId="0" xfId="0" applyFont="1" applyAlignment="1">
      <alignment horizontal="left" vertical="top" wrapText="1"/>
    </xf>
    <xf numFmtId="0" fontId="1" fillId="2" borderId="1" xfId="0" applyFont="1" applyFill="1" applyBorder="1" applyAlignment="1">
      <alignment horizontal="left" vertical="center"/>
    </xf>
    <xf numFmtId="14" fontId="7" fillId="2" borderId="1" xfId="0" applyNumberFormat="1" applyFont="1" applyFill="1" applyBorder="1" applyAlignment="1">
      <alignment horizontal="left" vertical="top" wrapText="1"/>
    </xf>
    <xf numFmtId="0" fontId="9" fillId="4" borderId="10" xfId="0" applyFont="1" applyFill="1" applyBorder="1" applyAlignment="1">
      <alignment horizontal="left" vertical="top" wrapText="1"/>
    </xf>
    <xf numFmtId="0" fontId="7" fillId="6" borderId="7" xfId="0" applyFont="1" applyFill="1" applyBorder="1" applyAlignment="1">
      <alignment horizontal="left" vertical="top" wrapText="1"/>
    </xf>
    <xf numFmtId="14" fontId="7" fillId="2" borderId="7" xfId="0" applyNumberFormat="1" applyFont="1" applyFill="1" applyBorder="1" applyAlignment="1">
      <alignment horizontal="left" vertical="top" wrapText="1"/>
    </xf>
    <xf numFmtId="0" fontId="1" fillId="2" borderId="7" xfId="0" applyFont="1" applyFill="1" applyBorder="1" applyAlignment="1">
      <alignment horizontal="left" vertical="top" wrapText="1"/>
    </xf>
    <xf numFmtId="0" fontId="7" fillId="0" borderId="7" xfId="0" applyFont="1" applyBorder="1" applyAlignment="1">
      <alignment horizontal="left" vertical="top" wrapText="1"/>
    </xf>
    <xf numFmtId="0" fontId="7" fillId="2" borderId="7" xfId="0" applyFont="1" applyFill="1" applyBorder="1" applyAlignment="1">
      <alignment horizontal="left" vertical="top"/>
    </xf>
    <xf numFmtId="0" fontId="1" fillId="0" borderId="1" xfId="0" applyFont="1" applyBorder="1" applyAlignment="1">
      <alignment horizontal="left" vertical="top" wrapText="1"/>
    </xf>
    <xf numFmtId="14" fontId="7" fillId="0" borderId="1" xfId="0" applyNumberFormat="1" applyFont="1" applyBorder="1" applyAlignment="1">
      <alignment horizontal="left" vertical="top" wrapText="1"/>
    </xf>
    <xf numFmtId="0" fontId="7" fillId="0" borderId="1" xfId="0" applyFont="1" applyBorder="1" applyAlignment="1">
      <alignment vertical="top" wrapText="1"/>
    </xf>
    <xf numFmtId="49" fontId="7" fillId="2" borderId="1" xfId="0" applyNumberFormat="1" applyFont="1" applyFill="1" applyBorder="1" applyAlignment="1">
      <alignment vertical="top" wrapText="1"/>
    </xf>
    <xf numFmtId="0" fontId="11" fillId="2" borderId="1" xfId="0" applyFont="1" applyFill="1" applyBorder="1" applyAlignment="1">
      <alignment vertical="top" wrapText="1"/>
    </xf>
    <xf numFmtId="0" fontId="9" fillId="6" borderId="1" xfId="0" applyFont="1" applyFill="1" applyBorder="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7" fillId="2" borderId="9" xfId="0" applyFont="1" applyFill="1" applyBorder="1" applyAlignment="1">
      <alignment vertical="top" wrapText="1"/>
    </xf>
    <xf numFmtId="49" fontId="7" fillId="0" borderId="1" xfId="0" applyNumberFormat="1" applyFont="1" applyBorder="1" applyAlignment="1">
      <alignment vertical="top" wrapText="1"/>
    </xf>
    <xf numFmtId="0" fontId="7" fillId="0" borderId="0" xfId="0" applyFont="1" applyAlignment="1">
      <alignment vertical="top" wrapText="1"/>
    </xf>
    <xf numFmtId="0" fontId="7" fillId="2" borderId="0" xfId="0" applyFont="1" applyFill="1" applyAlignment="1">
      <alignment vertical="top" wrapText="1"/>
    </xf>
    <xf numFmtId="164" fontId="7" fillId="6" borderId="1" xfId="0" applyNumberFormat="1" applyFont="1" applyFill="1" applyBorder="1" applyAlignment="1">
      <alignment horizontal="left" vertical="top" wrapText="1"/>
    </xf>
    <xf numFmtId="0" fontId="9" fillId="0" borderId="1" xfId="0" applyFont="1" applyBorder="1" applyAlignment="1">
      <alignment vertical="top" wrapText="1"/>
    </xf>
    <xf numFmtId="0" fontId="8" fillId="6" borderId="1" xfId="0" applyFont="1" applyFill="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0" fontId="8" fillId="5" borderId="1" xfId="0" applyFont="1" applyFill="1" applyBorder="1" applyAlignment="1">
      <alignment vertical="top" wrapText="1"/>
    </xf>
    <xf numFmtId="0" fontId="8" fillId="6" borderId="1" xfId="0" applyFont="1" applyFill="1" applyBorder="1" applyAlignment="1">
      <alignment horizontal="left" vertical="top" wrapText="1"/>
    </xf>
    <xf numFmtId="0" fontId="8" fillId="0" borderId="0" xfId="0" applyFont="1" applyAlignment="1">
      <alignment vertical="top" wrapText="1"/>
    </xf>
    <xf numFmtId="49" fontId="8" fillId="2" borderId="1" xfId="0" applyNumberFormat="1" applyFont="1" applyFill="1" applyBorder="1" applyAlignment="1">
      <alignment vertical="top" wrapText="1"/>
    </xf>
    <xf numFmtId="164" fontId="8" fillId="2" borderId="1" xfId="0" applyNumberFormat="1" applyFont="1" applyFill="1" applyBorder="1" applyAlignment="1">
      <alignment horizontal="left" vertical="top" wrapText="1"/>
    </xf>
    <xf numFmtId="0" fontId="7" fillId="2" borderId="8" xfId="0" applyFont="1" applyFill="1" applyBorder="1" applyAlignment="1">
      <alignment vertical="top" wrapText="1"/>
    </xf>
    <xf numFmtId="49" fontId="7" fillId="2" borderId="8" xfId="0" applyNumberFormat="1" applyFont="1" applyFill="1" applyBorder="1" applyAlignment="1">
      <alignment vertical="top" wrapText="1"/>
    </xf>
    <xf numFmtId="164" fontId="7" fillId="6" borderId="8" xfId="0" applyNumberFormat="1" applyFont="1" applyFill="1" applyBorder="1" applyAlignment="1">
      <alignment horizontal="left" vertical="top" wrapText="1"/>
    </xf>
    <xf numFmtId="0" fontId="11" fillId="0" borderId="0" xfId="0" applyFont="1" applyAlignment="1">
      <alignment vertical="top" wrapText="1"/>
    </xf>
    <xf numFmtId="0" fontId="11" fillId="4" borderId="0" xfId="0" applyFont="1" applyFill="1" applyAlignment="1">
      <alignment vertical="top" wrapText="1"/>
    </xf>
    <xf numFmtId="14" fontId="7" fillId="2" borderId="1" xfId="0" applyNumberFormat="1" applyFont="1" applyFill="1" applyBorder="1" applyAlignment="1">
      <alignment vertical="top" wrapText="1"/>
    </xf>
    <xf numFmtId="1" fontId="7" fillId="0" borderId="1" xfId="0" applyNumberFormat="1" applyFont="1" applyBorder="1" applyAlignment="1">
      <alignment horizontal="left" vertical="top" wrapText="1"/>
    </xf>
    <xf numFmtId="0" fontId="7" fillId="10" borderId="1" xfId="0" applyFont="1" applyFill="1" applyBorder="1" applyAlignment="1">
      <alignment vertical="top" wrapText="1"/>
    </xf>
    <xf numFmtId="0" fontId="7" fillId="9" borderId="1" xfId="0" applyFont="1" applyFill="1" applyBorder="1" applyAlignment="1">
      <alignment vertical="top" wrapText="1"/>
    </xf>
    <xf numFmtId="0" fontId="11" fillId="4" borderId="0" xfId="0" applyFont="1" applyFill="1" applyAlignment="1">
      <alignment wrapText="1"/>
    </xf>
    <xf numFmtId="0" fontId="9" fillId="6" borderId="0" xfId="0" applyFont="1" applyFill="1" applyAlignment="1">
      <alignment vertical="top" wrapText="1"/>
    </xf>
    <xf numFmtId="0" fontId="15" fillId="3" borderId="1" xfId="0" applyFont="1" applyFill="1" applyBorder="1" applyAlignment="1">
      <alignment vertical="center" wrapText="1"/>
    </xf>
    <xf numFmtId="0" fontId="18" fillId="3" borderId="1" xfId="0" applyFont="1" applyFill="1" applyBorder="1" applyAlignment="1">
      <alignment vertical="center" wrapText="1"/>
    </xf>
    <xf numFmtId="0" fontId="10" fillId="2" borderId="1" xfId="0" applyFont="1" applyFill="1" applyBorder="1" applyAlignment="1">
      <alignment horizontal="left" vertical="top" wrapText="1"/>
    </xf>
    <xf numFmtId="0" fontId="25" fillId="4" borderId="1" xfId="0" applyFont="1" applyFill="1" applyBorder="1" applyAlignment="1">
      <alignment horizontal="left" vertical="top" wrapText="1"/>
    </xf>
    <xf numFmtId="0" fontId="14" fillId="2" borderId="1" xfId="1" applyFill="1" applyBorder="1" applyAlignment="1">
      <alignment horizontal="left" vertical="top"/>
    </xf>
    <xf numFmtId="1" fontId="18" fillId="2" borderId="1" xfId="0" applyNumberFormat="1" applyFont="1" applyFill="1" applyBorder="1" applyAlignment="1">
      <alignment horizontal="left" vertical="top"/>
    </xf>
    <xf numFmtId="0" fontId="32" fillId="3" borderId="8" xfId="0" applyFont="1" applyFill="1" applyBorder="1" applyAlignment="1">
      <alignment horizontal="left" vertical="top" wrapText="1"/>
    </xf>
    <xf numFmtId="164" fontId="32" fillId="3" borderId="8" xfId="0" applyNumberFormat="1" applyFont="1" applyFill="1" applyBorder="1" applyAlignment="1">
      <alignment horizontal="left" vertical="top" wrapText="1"/>
    </xf>
    <xf numFmtId="1" fontId="32" fillId="3" borderId="8" xfId="0" applyNumberFormat="1" applyFont="1" applyFill="1" applyBorder="1" applyAlignment="1">
      <alignment horizontal="left" vertical="top" wrapText="1"/>
    </xf>
    <xf numFmtId="0" fontId="32" fillId="3" borderId="14" xfId="0" applyFont="1" applyFill="1" applyBorder="1" applyAlignment="1">
      <alignment horizontal="left" vertical="top" wrapText="1"/>
    </xf>
    <xf numFmtId="0" fontId="1" fillId="2" borderId="0" xfId="0" applyFont="1" applyFill="1" applyAlignment="1">
      <alignment horizontal="left" vertical="top"/>
    </xf>
    <xf numFmtId="0" fontId="1" fillId="2" borderId="8" xfId="0" applyFont="1" applyFill="1" applyBorder="1" applyAlignment="1">
      <alignment horizontal="left" vertical="top"/>
    </xf>
    <xf numFmtId="1" fontId="6" fillId="3" borderId="1" xfId="0" applyNumberFormat="1" applyFont="1" applyFill="1" applyBorder="1" applyAlignment="1">
      <alignment horizontal="left" vertical="top"/>
    </xf>
    <xf numFmtId="0" fontId="1" fillId="2" borderId="1" xfId="0" applyFont="1" applyFill="1" applyBorder="1" applyAlignment="1">
      <alignment vertical="top"/>
    </xf>
    <xf numFmtId="0" fontId="7" fillId="0" borderId="1" xfId="0" applyFont="1" applyBorder="1" applyAlignment="1">
      <alignment horizontal="left" vertical="top"/>
    </xf>
    <xf numFmtId="0" fontId="9" fillId="5" borderId="1" xfId="0" applyFont="1" applyFill="1" applyBorder="1" applyAlignment="1">
      <alignment horizontal="left" vertical="top"/>
    </xf>
    <xf numFmtId="0" fontId="1" fillId="0" borderId="1" xfId="0" applyFont="1" applyBorder="1" applyAlignment="1">
      <alignment vertical="top" wrapText="1"/>
    </xf>
    <xf numFmtId="0" fontId="1" fillId="6" borderId="1" xfId="0" applyFont="1" applyFill="1" applyBorder="1" applyAlignment="1">
      <alignment vertical="top" wrapText="1"/>
    </xf>
    <xf numFmtId="0" fontId="9" fillId="2" borderId="0" xfId="0" applyFont="1" applyFill="1" applyAlignment="1">
      <alignment horizontal="left" vertical="top" wrapText="1"/>
    </xf>
    <xf numFmtId="0" fontId="71" fillId="0" borderId="1" xfId="0" applyFont="1" applyBorder="1" applyAlignment="1">
      <alignment horizontal="left" vertical="top"/>
    </xf>
    <xf numFmtId="0" fontId="14" fillId="0" borderId="1" xfId="1" applyBorder="1" applyAlignment="1">
      <alignment horizontal="left" vertical="top" wrapText="1"/>
    </xf>
    <xf numFmtId="0" fontId="76" fillId="0" borderId="1" xfId="0" applyFont="1" applyBorder="1" applyAlignment="1">
      <alignment horizontal="left" vertical="top" wrapText="1"/>
    </xf>
    <xf numFmtId="1" fontId="9" fillId="2" borderId="0" xfId="0" applyNumberFormat="1" applyFont="1" applyFill="1" applyAlignment="1">
      <alignment horizontal="left" vertical="top" wrapText="1"/>
    </xf>
    <xf numFmtId="0" fontId="85" fillId="2" borderId="1" xfId="0" applyFont="1" applyFill="1" applyBorder="1" applyAlignment="1">
      <alignment vertical="top" wrapText="1"/>
    </xf>
    <xf numFmtId="0" fontId="77" fillId="5" borderId="1" xfId="0" applyFont="1" applyFill="1" applyBorder="1" applyAlignment="1">
      <alignment horizontal="left" vertical="top"/>
    </xf>
    <xf numFmtId="0" fontId="9" fillId="2" borderId="4" xfId="0" applyFont="1" applyFill="1" applyBorder="1" applyAlignment="1">
      <alignment horizontal="left" vertical="top" wrapText="1"/>
    </xf>
    <xf numFmtId="0" fontId="9" fillId="8" borderId="1" xfId="0" applyFont="1" applyFill="1" applyBorder="1" applyAlignment="1">
      <alignment horizontal="left" vertical="top" wrapText="1"/>
    </xf>
    <xf numFmtId="0" fontId="9" fillId="6" borderId="5" xfId="0" applyFont="1" applyFill="1" applyBorder="1" applyAlignment="1">
      <alignment horizontal="left" vertical="top" wrapText="1"/>
    </xf>
    <xf numFmtId="0" fontId="7" fillId="6" borderId="3" xfId="0" applyFont="1" applyFill="1" applyBorder="1" applyAlignment="1">
      <alignment horizontal="left" vertical="top" wrapText="1"/>
    </xf>
    <xf numFmtId="0" fontId="9" fillId="5" borderId="0" xfId="0" applyFont="1" applyFill="1" applyAlignment="1">
      <alignment horizontal="left" vertical="top" wrapText="1"/>
    </xf>
    <xf numFmtId="0" fontId="9" fillId="0" borderId="5" xfId="0" applyFont="1" applyBorder="1" applyAlignment="1">
      <alignment horizontal="left" vertical="top" wrapText="1"/>
    </xf>
    <xf numFmtId="0" fontId="7" fillId="2" borderId="3" xfId="0" applyFont="1" applyFill="1" applyBorder="1" applyAlignment="1">
      <alignment horizontal="left" vertical="top" wrapText="1"/>
    </xf>
    <xf numFmtId="0" fontId="81" fillId="0" borderId="3" xfId="0" applyFont="1" applyBorder="1" applyAlignment="1">
      <alignment wrapText="1"/>
    </xf>
    <xf numFmtId="0" fontId="9" fillId="5" borderId="1" xfId="0" applyFont="1" applyFill="1" applyBorder="1" applyAlignment="1">
      <alignment horizontal="left" vertical="top" wrapText="1"/>
    </xf>
    <xf numFmtId="0" fontId="9" fillId="2" borderId="5" xfId="0" applyFont="1" applyFill="1" applyBorder="1" applyAlignment="1">
      <alignment horizontal="left" vertical="top" wrapText="1"/>
    </xf>
    <xf numFmtId="49" fontId="9" fillId="2" borderId="5" xfId="0" applyNumberFormat="1" applyFont="1" applyFill="1" applyBorder="1" applyAlignment="1">
      <alignment horizontal="left" vertical="top" wrapText="1"/>
    </xf>
    <xf numFmtId="49" fontId="7" fillId="2" borderId="0" xfId="0" applyNumberFormat="1" applyFont="1" applyFill="1" applyAlignment="1">
      <alignment horizontal="left" vertical="top" wrapText="1"/>
    </xf>
    <xf numFmtId="49" fontId="7" fillId="2" borderId="3" xfId="0" applyNumberFormat="1" applyFont="1" applyFill="1" applyBorder="1" applyAlignment="1">
      <alignment horizontal="left" vertical="top" wrapText="1"/>
    </xf>
    <xf numFmtId="0" fontId="82" fillId="0" borderId="1" xfId="0" applyFont="1" applyBorder="1" applyAlignment="1">
      <alignment vertical="center" wrapText="1"/>
    </xf>
    <xf numFmtId="0" fontId="82" fillId="0" borderId="1" xfId="0" applyFont="1" applyBorder="1" applyAlignment="1">
      <alignment horizontal="left" vertical="top"/>
    </xf>
    <xf numFmtId="1" fontId="7" fillId="2" borderId="0" xfId="0" applyNumberFormat="1" applyFont="1" applyFill="1" applyAlignment="1">
      <alignment horizontal="left" vertical="top" wrapText="1"/>
    </xf>
    <xf numFmtId="0" fontId="87" fillId="2" borderId="1" xfId="0" applyFont="1" applyFill="1" applyBorder="1" applyAlignment="1">
      <alignment horizontal="left" vertical="top" wrapText="1"/>
    </xf>
    <xf numFmtId="0" fontId="87" fillId="2" borderId="1" xfId="0" applyFont="1" applyFill="1" applyBorder="1" applyAlignment="1">
      <alignment horizontal="fill" vertical="top" wrapText="1"/>
    </xf>
    <xf numFmtId="0" fontId="14" fillId="2" borderId="0" xfId="1" applyFill="1" applyAlignment="1">
      <alignment horizontal="left" vertical="top" wrapText="1"/>
    </xf>
    <xf numFmtId="0" fontId="88" fillId="4" borderId="0" xfId="0" applyFont="1" applyFill="1" applyAlignment="1">
      <alignment wrapText="1"/>
    </xf>
    <xf numFmtId="0" fontId="89" fillId="2" borderId="1" xfId="0" applyFont="1" applyFill="1" applyBorder="1" applyAlignment="1">
      <alignment horizontal="left" vertical="top" wrapText="1"/>
    </xf>
    <xf numFmtId="0" fontId="14" fillId="0" borderId="19" xfId="1" applyBorder="1" applyAlignment="1">
      <alignment wrapText="1"/>
    </xf>
    <xf numFmtId="0" fontId="14" fillId="0" borderId="18" xfId="1" applyBorder="1" applyAlignment="1">
      <alignment wrapText="1"/>
    </xf>
    <xf numFmtId="0" fontId="78" fillId="0" borderId="0" xfId="0" applyFont="1" applyAlignment="1">
      <alignment wrapText="1"/>
    </xf>
    <xf numFmtId="0" fontId="14" fillId="0" borderId="0" xfId="1" applyAlignment="1">
      <alignment vertical="top" wrapText="1"/>
    </xf>
    <xf numFmtId="0" fontId="32" fillId="2" borderId="1" xfId="0" applyFont="1" applyFill="1" applyBorder="1" applyAlignment="1">
      <alignment vertical="top" wrapText="1"/>
    </xf>
    <xf numFmtId="0" fontId="0" fillId="2" borderId="1" xfId="0" applyFont="1" applyFill="1" applyBorder="1" applyAlignment="1">
      <alignment horizontal="left" vertical="top" wrapText="1"/>
    </xf>
    <xf numFmtId="0" fontId="0" fillId="6" borderId="1" xfId="0" applyFont="1" applyFill="1" applyBorder="1" applyAlignment="1">
      <alignment horizontal="left" vertical="top" wrapText="1"/>
    </xf>
  </cellXfs>
  <cellStyles count="2">
    <cellStyle name="Hyperlink" xfId="1" builtinId="8"/>
    <cellStyle name="Normal" xfId="0" builtinId="0"/>
  </cellStyles>
  <dxfs count="34">
    <dxf>
      <font>
        <b val="0"/>
        <i val="0"/>
        <strike val="0"/>
        <condense val="0"/>
        <extend val="0"/>
        <outline val="0"/>
        <shadow val="0"/>
        <u val="none"/>
        <vertAlign val="baseline"/>
        <sz val="11"/>
        <color theme="1"/>
        <name val="Arial"/>
        <scheme val="none"/>
      </font>
      <alignment horizontal="left"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alignment horizontal="left"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alignment horizontal="general"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alignment horizontal="general"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alignment horizontal="general"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alignment horizontal="general"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alignment horizontal="general"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fill>
        <patternFill patternType="solid">
          <fgColor indexed="64"/>
          <bgColor rgb="FFFFFF00"/>
        </patternFill>
      </fill>
      <alignment horizontal="general"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general" vertical="top"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0" indent="0" justifyLastLine="0" shrinkToFit="0" readingOrder="0"/>
      <border diagonalUp="0" diagonalDown="0">
        <left/>
        <right style="thin">
          <color theme="0" tint="-0.249977111117893"/>
        </right>
        <top style="thin">
          <color theme="0" tint="-0.249977111117893"/>
        </top>
        <bottom style="thin">
          <color theme="0" tint="-0.249977111117893"/>
        </bottom>
        <vertical/>
        <horizontal/>
      </border>
    </dxf>
    <dxf>
      <border outline="0">
        <bottom style="thin">
          <color theme="0" tint="-0.249977111117893"/>
        </bottom>
      </border>
    </dxf>
    <dxf>
      <border outline="0">
        <left style="thin">
          <color theme="0" tint="-0.249977111117893"/>
        </left>
        <top style="thin">
          <color theme="0" tint="-0.249977111117893"/>
        </top>
        <bottom style="thin">
          <color theme="0" tint="-0.249977111117893"/>
        </bottom>
      </border>
    </dxf>
    <dxf>
      <font>
        <b val="0"/>
        <color rgb="FF000000"/>
      </font>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top style="thin">
          <color theme="0" tint="-0.249977111117893"/>
        </top>
        <bottom/>
        <vertical/>
        <horizontal/>
      </border>
    </dxf>
    <dxf>
      <font>
        <b val="0"/>
        <i val="0"/>
        <strike val="0"/>
        <condense val="0"/>
        <extend val="0"/>
        <outline val="0"/>
        <shadow val="0"/>
        <u val="none"/>
        <vertAlign val="baseline"/>
        <sz val="11"/>
        <color theme="1"/>
        <name val="Arial"/>
        <scheme val="none"/>
      </font>
      <numFmt numFmtId="1" formatCode="0"/>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numFmt numFmtId="19" formatCode="m/d/yyyy"/>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rgb="FFFFFF00"/>
        </patternFill>
      </fill>
      <alignment horizontal="left" vertical="top" textRotation="0" wrapText="1" indent="0" justifyLastLine="0" shrinkToFit="0" readingOrder="0"/>
      <border diagonalUp="0" diagonalDown="0">
        <left style="thin">
          <color theme="0" tint="-0.249977111117893"/>
        </left>
        <right style="thin">
          <color theme="0" tint="-0.249977111117893"/>
        </right>
        <top style="thin">
          <color theme="0" tint="-0.249977111117893"/>
        </top>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border diagonalUp="0" diagonalDown="0">
        <left/>
        <right style="thin">
          <color theme="0" tint="-0.249977111117893"/>
        </right>
        <top style="thin">
          <color theme="0" tint="-0.249977111117893"/>
        </top>
        <bottom/>
        <vertical/>
        <horizontal/>
      </border>
    </dxf>
    <dxf>
      <border outline="0">
        <top style="thin">
          <color theme="0" tint="-0.249977111117893"/>
        </top>
      </border>
    </dxf>
    <dxf>
      <border outline="0">
        <bottom style="thin">
          <color theme="0" tint="-0.249977111117893"/>
        </bottom>
      </border>
    </dxf>
    <dxf>
      <border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Arial"/>
        <family val="2"/>
        <scheme val="none"/>
      </font>
      <fill>
        <patternFill patternType="solid">
          <fgColor indexed="64"/>
          <bgColor theme="2"/>
        </patternFill>
      </fill>
      <alignment horizontal="left" vertical="top" textRotation="0" wrapText="1" indent="0" justifyLastLine="0" shrinkToFit="0" readingOrder="0"/>
      <border diagonalUp="0" diagonalDown="0">
        <left style="thin">
          <color theme="0" tint="-0.249977111117893"/>
        </left>
        <right style="thin">
          <color theme="0" tint="-0.249977111117893"/>
        </right>
        <top/>
        <bottom/>
      </border>
    </dxf>
  </dxfs>
  <tableStyles count="0" defaultTableStyle="TableStyleMedium2" defaultPivotStyle="PivotStyleMedium9"/>
  <colors>
    <mruColors>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A474AD-53C7-4D25-B3FE-9FE46C345A66}" name="Table1" displayName="Table1" ref="A1:P2" totalsRowShown="0" headerRowDxfId="33" dataDxfId="32" headerRowBorderDxfId="30" tableBorderDxfId="31" totalsRowBorderDxfId="29">
  <autoFilter ref="A1:P2" xr:uid="{64A474AD-53C7-4D25-B3FE-9FE46C345A66}"/>
  <tableColumns count="16">
    <tableColumn id="1" xr3:uid="{887BFAA6-DEDF-4FEF-94BC-A88A40D225D3}" name="Status (submitted, accepted, published)" dataDxfId="28"/>
    <tableColumn id="2" xr3:uid="{83AECA9B-7C04-468B-98A6-08A11F73C889}" name="Journal Name _x000a__x000a_(please state where currently under review or final journal of publication)" dataDxfId="27"/>
    <tableColumn id="3" xr3:uid="{015C0153-29CA-4BF1-9B9C-BD9386FFBAEA}" name="Author List" dataDxfId="26"/>
    <tableColumn id="4" xr3:uid="{4EDCE101-00EC-4A08-95AE-34F6E8319B69}" name="Title" dataDxfId="25"/>
    <tableColumn id="5" xr3:uid="{C3BF79DC-FCE5-4F16-89B9-8C7E4BD3BF47}" name="Year" dataDxfId="24"/>
    <tableColumn id="6" xr3:uid="{49B6B5B2-7763-402F-9306-E06AB364E677}" name="First/Last author from CDC" dataDxfId="23"/>
    <tableColumn id="7" xr3:uid="{C0B83BB6-A29C-4444-9CCF-512D05FC0821}" name="Volume/Issue" dataDxfId="22"/>
    <tableColumn id="8" xr3:uid="{D4087C76-A8DA-428D-B48F-CB9B20B4CE63}" name="Page Range" dataDxfId="21"/>
    <tableColumn id="9" xr3:uid="{DCC287B3-4AE0-4D98-AC78-F846B1882BDA}" name="Type" dataDxfId="20"/>
    <tableColumn id="10" xr3:uid="{5D47D873-968F-44A3-8E37-3C4857D39DE6}" name="Publication Date" dataDxfId="19"/>
    <tableColumn id="11" xr3:uid="{BA8EF411-37EF-4E57-9C92-A8D9B21CFEED}" name="Announced at All Hands" dataDxfId="18"/>
    <tableColumn id="12" xr3:uid="{E9A93AFF-8813-47FC-8723-EE6F55BD6B51}" name="Webpage" dataDxfId="17"/>
    <tableColumn id="13" xr3:uid="{269EE535-7521-4356-903E-12F50C06265E}" name="doi (or webpage)" dataDxfId="16"/>
    <tableColumn id="14" xr3:uid="{75DA1D2F-74A6-4A85-9788-5A45A3714184}" name="PMID" dataDxfId="15"/>
    <tableColumn id="15" xr3:uid="{5ED507FF-3762-4A08-B9BE-AAD2A42542D0}" name="PMCID" dataDxfId="14"/>
    <tableColumn id="16" xr3:uid="{3ED90C05-B2F9-4ACE-BB3C-98FC078864A0}" name="Note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A1407D-3B51-491C-843E-4F11BD369A89}" name="FullTable" displayName="FullTable" ref="A1:P259" totalsRowShown="0" headerRowDxfId="12" headerRowBorderDxfId="10" tableBorderDxfId="11">
  <autoFilter ref="A1:P259" xr:uid="{5EA1407D-3B51-491C-843E-4F11BD369A89}">
    <filterColumn colId="5">
      <filters>
        <filter val="2025"/>
      </filters>
    </filterColumn>
  </autoFilter>
  <tableColumns count="16">
    <tableColumn id="1" xr3:uid="{2784BE16-84EF-4670-BA07-50ECF31055F5}" name="Branch" dataDxfId="9"/>
    <tableColumn id="2" xr3:uid="{6563D476-1016-4243-B80A-CE6848B1272F}" name="Status (submitted, accepted, published)" dataDxfId="8"/>
    <tableColumn id="3" xr3:uid="{EE48E4DD-1A55-48D8-9F2F-0F238753DC35}" name="Journal Name _x000a__x000a_(please state where currently under review or final journal of publication)" dataDxfId="7"/>
    <tableColumn id="4" xr3:uid="{73D55A7D-0201-43F2-A393-16FBED8998FF}" name="Author List"/>
    <tableColumn id="5" xr3:uid="{F7571658-3329-4123-B1C2-8C2732A6A014}" name="Title"/>
    <tableColumn id="6" xr3:uid="{140E30CA-3BB4-4C8A-B2CE-B5AC998A973F}" name="Year" dataDxfId="6"/>
    <tableColumn id="8" xr3:uid="{7B294EAC-075D-4670-85C3-9B4CB5B6649D}" name="Volume/Issue" dataDxfId="5"/>
    <tableColumn id="9" xr3:uid="{44C0CC05-B0DF-4103-9170-0FB80E65D7DD}" name="Page Range"/>
    <tableColumn id="10" xr3:uid="{F7D2BF5A-29E4-4E91-8F37-2D75CA362490}" name="Type" dataDxfId="4"/>
    <tableColumn id="7" xr3:uid="{18D47CE8-15B3-4FC4-B5E9-2E2D95FB98CC}" name="Type of publication" dataDxfId="3"/>
    <tableColumn id="11" xr3:uid="{474B2D89-5164-434C-9001-97E2745F44FC}" name="Publication Date"/>
    <tableColumn id="12" xr3:uid="{03856D84-EA9C-411E-B1BA-D47202E51E49}" name="Announced at All Hands" dataDxfId="2"/>
    <tableColumn id="14" xr3:uid="{187A3DAF-9023-46B9-A00F-1DF65940F924}" name="doi (or webpage)"/>
    <tableColumn id="15" xr3:uid="{E2F4BEE2-E0BC-4007-BE65-6E8856C247BB}" name="PMID" dataDxfId="1"/>
    <tableColumn id="16" xr3:uid="{2DAC3529-9DED-4BF4-AACA-B4454A99FCE1}" name="PMCID" dataDxfId="0"/>
    <tableColumn id="17" xr3:uid="{5BD09589-6F47-462F-837B-188BB4CB38CF}"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dc.gov/mmwr/volumes/73/wr/mm7338a4.htm?s_cid=mm7338a4_w" TargetMode="External"/><Relationship Id="rId18" Type="http://schemas.openxmlformats.org/officeDocument/2006/relationships/hyperlink" Target="https://www.childstats.gov/americaschildren/" TargetMode="External"/><Relationship Id="rId26" Type="http://schemas.openxmlformats.org/officeDocument/2006/relationships/hyperlink" Target="https://www.cdc.gov/respvaxview/publications/pregnancy-coverage-estimation.html" TargetMode="External"/><Relationship Id="rId39" Type="http://schemas.openxmlformats.org/officeDocument/2006/relationships/hyperlink" Target="https://academic.oup.com/jssam/advance-article/doi/10.1093/jssam/smag005/8626003" TargetMode="External"/><Relationship Id="rId21" Type="http://schemas.openxmlformats.org/officeDocument/2006/relationships/hyperlink" Target="https://www.cdc.gov/adultvaxview/publications-resources/pandemic-impact-on-ppv.html" TargetMode="External"/><Relationship Id="rId34" Type="http://schemas.openxmlformats.org/officeDocument/2006/relationships/hyperlink" Target="https://www.cdc.gov/adultvaxview/publications-resources/adult-vaccination-coverage-2023.html" TargetMode="External"/><Relationship Id="rId42" Type="http://schemas.openxmlformats.org/officeDocument/2006/relationships/hyperlink" Target="https://www.cdc.gov/pcd/issues/2026/pdf/25_0481.pdf" TargetMode="External"/><Relationship Id="rId7" Type="http://schemas.openxmlformats.org/officeDocument/2006/relationships/hyperlink" Target="https://doi.org/10.1016/j.vaccine.2024.07.040" TargetMode="External"/><Relationship Id="rId2" Type="http://schemas.openxmlformats.org/officeDocument/2006/relationships/hyperlink" Target="https://doi.org/10.15585/mmwr.mm7251a4" TargetMode="External"/><Relationship Id="rId16" Type="http://schemas.openxmlformats.org/officeDocument/2006/relationships/hyperlink" Target="https://www.cdc.gov/fluvaxview/coverage-by-season/health-care-personnel-coverage-2023-24.html" TargetMode="External"/><Relationship Id="rId29" Type="http://schemas.openxmlformats.org/officeDocument/2006/relationships/hyperlink" Target="https://www.cdc.gov/respvaxview/publications/reasons-for-nonvaccination-2023-24.html" TargetMode="External"/><Relationship Id="rId1" Type="http://schemas.openxmlformats.org/officeDocument/2006/relationships/hyperlink" Target="http://dx.doi.org/10.15585/mmwr.mm7245a2" TargetMode="External"/><Relationship Id="rId6" Type="http://schemas.openxmlformats.org/officeDocument/2006/relationships/hyperlink" Target="https://www.sciencedirect.com/science/article/pii/S0264410X24008028" TargetMode="External"/><Relationship Id="rId11" Type="http://schemas.openxmlformats.org/officeDocument/2006/relationships/hyperlink" Target="https://www.cdc.gov/vaccines/imz-managers/coverage/adultvaxview/pubs-resources/vaccination-coverage-adults-2022.html" TargetMode="External"/><Relationship Id="rId24" Type="http://schemas.openxmlformats.org/officeDocument/2006/relationships/hyperlink" Target="https://www.sciencedirect.com/science/article/pii/S0264410X25007121?dgcid=author%20%20%20%20Parental%20Reasons%20for%20Non-Receipt%20of%20Influenza%20Vaccination%20Among%20Children%206%20Months&#8211;17%20Years%20and%20Changes%20Over%20Time,%202015&#8211;2024%20by%20Katherine%20E.%20Kahn,%20Tammy%20A.%20Santibanez,%20Anurag%20Jain,%20Tianyi%20Zhou,%20Carla%20L.%20Black%20::%20SSRN" TargetMode="External"/><Relationship Id="rId32" Type="http://schemas.openxmlformats.org/officeDocument/2006/relationships/hyperlink" Target="https://www.sciencedirect.com/science/article/pii/S0749379725006488?via%3Dihub" TargetMode="External"/><Relationship Id="rId37" Type="http://schemas.openxmlformats.org/officeDocument/2006/relationships/hyperlink" Target="https://www.cdc.gov/adultvaxview/publications-resources/adult-hepb-vaccination-coverage-2023.html" TargetMode="External"/><Relationship Id="rId40" Type="http://schemas.openxmlformats.org/officeDocument/2006/relationships/hyperlink" Target="https://www.cdc.gov/adultvaxview/publications-resources/vaccination-coverage-adults-2024.html" TargetMode="External"/><Relationship Id="rId45" Type="http://schemas.openxmlformats.org/officeDocument/2006/relationships/printerSettings" Target="../printerSettings/printerSettings1.bin"/><Relationship Id="rId5" Type="http://schemas.openxmlformats.org/officeDocument/2006/relationships/hyperlink" Target="https://authors.elsevier.com/c/1j9jv,60n7r~TE" TargetMode="External"/><Relationship Id="rId15" Type="http://schemas.openxmlformats.org/officeDocument/2006/relationships/hyperlink" Target="https://www.cdc.gov/fluvaxview/coverage-by-season/2023-2024.html" TargetMode="External"/><Relationship Id="rId23" Type="http://schemas.openxmlformats.org/officeDocument/2006/relationships/hyperlink" Target="https://www.sciencedirect.com/science/article/pii/S2590136225000348" TargetMode="External"/><Relationship Id="rId28" Type="http://schemas.openxmlformats.org/officeDocument/2006/relationships/hyperlink" Target="https://www.cdc.gov/covidvaxview/publications/reasons-no-covid-19-vaccation-2023.html" TargetMode="External"/><Relationship Id="rId36" Type="http://schemas.openxmlformats.org/officeDocument/2006/relationships/hyperlink" Target="https://pubmed.ncbi.nlm.nih.gov/41442863/" TargetMode="External"/><Relationship Id="rId10" Type="http://schemas.openxmlformats.org/officeDocument/2006/relationships/hyperlink" Target="https://www.cdc.gov/mmwr/volumes/73/wr/mm7333e1.htm" TargetMode="External"/><Relationship Id="rId19" Type="http://schemas.openxmlformats.org/officeDocument/2006/relationships/hyperlink" Target="https://pubmed.ncbi.nlm.nih.gov/39615345/" TargetMode="External"/><Relationship Id="rId31" Type="http://schemas.openxmlformats.org/officeDocument/2006/relationships/hyperlink" Target="https://www.cdc.gov/teenvaxview/publications/us-pacific-island-coverage-estimates-2013-2024.html" TargetMode="External"/><Relationship Id="rId44" Type="http://schemas.openxmlformats.org/officeDocument/2006/relationships/hyperlink" Target="https://www.cdc.gov/teenvaxview/media/pdfs/2025/11/Error-Profile-for-the-2024-NIS-Teen_508.pdf" TargetMode="External"/><Relationship Id="rId4" Type="http://schemas.openxmlformats.org/officeDocument/2006/relationships/hyperlink" Target="https://www.foodsystemsjournal.org/index.php/fsj/article/view/1232" TargetMode="External"/><Relationship Id="rId9" Type="http://schemas.openxmlformats.org/officeDocument/2006/relationships/hyperlink" Target="https://www.cdc.gov/mmwr/volumes/73/wr/mm7333a1.htm" TargetMode="External"/><Relationship Id="rId14" Type="http://schemas.openxmlformats.org/officeDocument/2006/relationships/hyperlink" Target="https://www.cdc.gov/fluvaxview/coverage-by-season/pregnant-april-2024.html" TargetMode="External"/><Relationship Id="rId22" Type="http://schemas.openxmlformats.org/officeDocument/2006/relationships/hyperlink" Target="https://www.cdc.gov/adultvaxview/publications-resources/adult-vaccination-coverage-2022.html" TargetMode="External"/><Relationship Id="rId27" Type="http://schemas.openxmlformats.org/officeDocument/2006/relationships/hyperlink" Target="https://www.cdc.gov/adultvaxview/publications-resources/adult-vaccination-coverage-2022.html?CDC_AAref_Val=https://www.cdc.gov/vaccines/imz-managers/coverage/adultvaxview/pubs-resources/vaccination-coverage-adults-2022.html" TargetMode="External"/><Relationship Id="rId30" Type="http://schemas.openxmlformats.org/officeDocument/2006/relationships/hyperlink" Target="https://pubmed.ncbi.nlm.nih.gov/40129365/" TargetMode="External"/><Relationship Id="rId35" Type="http://schemas.openxmlformats.org/officeDocument/2006/relationships/hyperlink" Target="https://www.cdc.gov/fluvaxview/coverage-by-season/2024-2025.html" TargetMode="External"/><Relationship Id="rId43" Type="http://schemas.openxmlformats.org/officeDocument/2006/relationships/hyperlink" Target="https://www.cdc.gov/nis/media/pdfs/2026/03/NISTEENPUF24DUG.pdf" TargetMode="External"/><Relationship Id="rId8" Type="http://schemas.openxmlformats.org/officeDocument/2006/relationships/hyperlink" Target="https://www.cdc.gov/vaccines/imz-managers/coverage/teenvaxview/downloads/Error-Profile-2023-NIS-Teen.pdf" TargetMode="External"/><Relationship Id="rId3" Type="http://schemas.openxmlformats.org/officeDocument/2006/relationships/hyperlink" Target="https://doi.org/10.1016/j.vaccine.2023.12.046" TargetMode="External"/><Relationship Id="rId12" Type="http://schemas.openxmlformats.org/officeDocument/2006/relationships/hyperlink" Target="https://www.cdc.gov/mmwr/volumes/73/wr/mm7338a3.htm?s_cid=mm7338a3_w" TargetMode="External"/><Relationship Id="rId17" Type="http://schemas.openxmlformats.org/officeDocument/2006/relationships/hyperlink" Target="https://www.sciencedirect.com/science/article/pii/S0264410X24010545?dgcid=coauthor" TargetMode="External"/><Relationship Id="rId25" Type="http://schemas.openxmlformats.org/officeDocument/2006/relationships/hyperlink" Target="https://publications.aap.org/pediatrics/article/doi/10.1542/peds.2024-070240/201878/Infant-Respiratory-Syncytial-Virus-Immunization?searchresult=1?autologincheck=redirected" TargetMode="External"/><Relationship Id="rId33" Type="http://schemas.openxmlformats.org/officeDocument/2006/relationships/hyperlink" Target="https://www.sciencedirect.com/science/article/pii/S0264410X25013994?via%3Dihub" TargetMode="External"/><Relationship Id="rId38" Type="http://schemas.openxmlformats.org/officeDocument/2006/relationships/hyperlink" Target="https://www.sciencedirect.com/science/article/pii/S0264410X26002355?dgcid=author" TargetMode="External"/><Relationship Id="rId20" Type="http://schemas.openxmlformats.org/officeDocument/2006/relationships/hyperlink" Target="https://pubmed.ncbi.nlm.nih.gov/39579649/" TargetMode="External"/><Relationship Id="rId41" Type="http://schemas.openxmlformats.org/officeDocument/2006/relationships/hyperlink" Target="https://www.sciencedirect.com/science/article/pii/S0264410X26006328?dgcid=author"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thieme-connect.de/products/ejournals/abstract/10.1055/a-2255-9749" TargetMode="External"/><Relationship Id="rId3" Type="http://schemas.openxmlformats.org/officeDocument/2006/relationships/hyperlink" Target="https://pubmed.ncbi.nlm.nih.gov/38302337/" TargetMode="External"/><Relationship Id="rId7" Type="http://schemas.openxmlformats.org/officeDocument/2006/relationships/hyperlink" Target="https://www.nature.com/articles/s41372-024-02139-3" TargetMode="External"/><Relationship Id="rId12" Type="http://schemas.openxmlformats.org/officeDocument/2006/relationships/printerSettings" Target="../printerSettings/printerSettings2.bin"/><Relationship Id="rId2" Type="http://schemas.openxmlformats.org/officeDocument/2006/relationships/hyperlink" Target="https://www.sciencedirect.com/science/article/pii/S0264410X2301438X" TargetMode="External"/><Relationship Id="rId1" Type="http://schemas.openxmlformats.org/officeDocument/2006/relationships/hyperlink" Target="https://doi.org/10.1542/hpeds.2024-008074" TargetMode="External"/><Relationship Id="rId6" Type="http://schemas.openxmlformats.org/officeDocument/2006/relationships/hyperlink" Target="https://pubmed.ncbi.nlm.nih.gov/38797629/" TargetMode="External"/><Relationship Id="rId11" Type="http://schemas.openxmlformats.org/officeDocument/2006/relationships/hyperlink" Target="http://dx.doi.org/10.15585/mmwr.mm7431a3" TargetMode="External"/><Relationship Id="rId5" Type="http://schemas.openxmlformats.org/officeDocument/2006/relationships/hyperlink" Target="https://www.cdc.gov/mmwr/volumes/73/wr/mm7313a2.htm" TargetMode="External"/><Relationship Id="rId10" Type="http://schemas.openxmlformats.org/officeDocument/2006/relationships/hyperlink" Target="https://doi.org/10.1016/j.vaccine.2023.12.005" TargetMode="External"/><Relationship Id="rId4" Type="http://schemas.openxmlformats.org/officeDocument/2006/relationships/hyperlink" Target="https://www.sciencedirect.com/science/article/pii/S0264410X24002718" TargetMode="External"/><Relationship Id="rId9" Type="http://schemas.openxmlformats.org/officeDocument/2006/relationships/hyperlink" Target="https://doi.org/10.1542/hpeds.2024-00807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dx.doi.org/10.15585/mmwr.mm7422a3" TargetMode="External"/><Relationship Id="rId21" Type="http://schemas.openxmlformats.org/officeDocument/2006/relationships/hyperlink" Target="https://doi.org/10.1111/jrh.12913" TargetMode="External"/><Relationship Id="rId42" Type="http://schemas.openxmlformats.org/officeDocument/2006/relationships/hyperlink" Target="https://onlinelibrary.wiley.com/doi/10.1002/cam4.70761" TargetMode="External"/><Relationship Id="rId47" Type="http://schemas.openxmlformats.org/officeDocument/2006/relationships/hyperlink" Target="https://onlinelibrary.wiley.com/doi/10.1002/hec.4974" TargetMode="External"/><Relationship Id="rId63" Type="http://schemas.openxmlformats.org/officeDocument/2006/relationships/hyperlink" Target="https://www.sciencedirect.com/science/article/pii/S0264410X25009338" TargetMode="External"/><Relationship Id="rId68" Type="http://schemas.openxmlformats.org/officeDocument/2006/relationships/hyperlink" Target="https://www.mdpi.com/2076-393X/14/2/130" TargetMode="External"/><Relationship Id="rId7" Type="http://schemas.openxmlformats.org/officeDocument/2006/relationships/hyperlink" Target="http://dx.doi.org/10.15585/mmwr.mm7331a2" TargetMode="External"/><Relationship Id="rId71" Type="http://schemas.openxmlformats.org/officeDocument/2006/relationships/hyperlink" Target="https://www.sciencedirect.com/science/article/pii/S0749379726001558" TargetMode="External"/><Relationship Id="rId2" Type="http://schemas.openxmlformats.org/officeDocument/2006/relationships/hyperlink" Target="https://doi.org/10.1016/j.ypmed.2024.107936" TargetMode="External"/><Relationship Id="rId16" Type="http://schemas.openxmlformats.org/officeDocument/2006/relationships/hyperlink" Target="https://www.sciencedirect.com/science/article/pii/S0264410X25003032" TargetMode="External"/><Relationship Id="rId29" Type="http://schemas.openxmlformats.org/officeDocument/2006/relationships/hyperlink" Target="https://doi.org/10.1002/ijgo.15970" TargetMode="External"/><Relationship Id="rId11" Type="http://schemas.openxmlformats.org/officeDocument/2006/relationships/hyperlink" Target="https://doi.org/10.1016/j.vaccine.2024.126667" TargetMode="External"/><Relationship Id="rId24" Type="http://schemas.openxmlformats.org/officeDocument/2006/relationships/hyperlink" Target="https://onlinelibrary.wiley.com/doi/10.1002/hec.4974" TargetMode="External"/><Relationship Id="rId32" Type="http://schemas.openxmlformats.org/officeDocument/2006/relationships/hyperlink" Target="https://www.sciencedirect.com/science/article/pii/S0264410X25000982?dgcid=author" TargetMode="External"/><Relationship Id="rId37" Type="http://schemas.openxmlformats.org/officeDocument/2006/relationships/hyperlink" Target="https://www.sciencedirect.com/science/article/pii/S0264410X24010545?dgcid=coauthor" TargetMode="External"/><Relationship Id="rId40" Type="http://schemas.openxmlformats.org/officeDocument/2006/relationships/hyperlink" Target="https://www.cdc.gov/rsvvaxview/publications/rsv-immunization-survey-2024.html" TargetMode="External"/><Relationship Id="rId45" Type="http://schemas.openxmlformats.org/officeDocument/2006/relationships/hyperlink" Target="https://obgyn.onlinelibrary.wiley.com/doi/10.1002/ijgo.15970" TargetMode="External"/><Relationship Id="rId53" Type="http://schemas.openxmlformats.org/officeDocument/2006/relationships/hyperlink" Target="https://doi.org/10.1542/peds.2024-066481" TargetMode="External"/><Relationship Id="rId58" Type="http://schemas.openxmlformats.org/officeDocument/2006/relationships/hyperlink" Target="https://doi.org/10.1186/s12962-025-00646-4" TargetMode="External"/><Relationship Id="rId66" Type="http://schemas.openxmlformats.org/officeDocument/2006/relationships/hyperlink" Target="https://www.sciencedirect.com/science/article/pii/S0264410X2501446X?via%3Dihub" TargetMode="External"/><Relationship Id="rId5" Type="http://schemas.openxmlformats.org/officeDocument/2006/relationships/hyperlink" Target="https://doi.org/10.1016/j.vaccine.2024.01.095" TargetMode="External"/><Relationship Id="rId61" Type="http://schemas.openxmlformats.org/officeDocument/2006/relationships/hyperlink" Target="https://www.sciencedirect.com/science/article/pii/S0264410X25012381" TargetMode="External"/><Relationship Id="rId19" Type="http://schemas.openxmlformats.org/officeDocument/2006/relationships/hyperlink" Target="https://doi.org/10.1002/ijgo.15970" TargetMode="External"/><Relationship Id="rId14" Type="http://schemas.openxmlformats.org/officeDocument/2006/relationships/hyperlink" Target="https://onlinelibrary.wiley.com/doi/10.1002/cam4.70761" TargetMode="External"/><Relationship Id="rId22" Type="http://schemas.openxmlformats.org/officeDocument/2006/relationships/hyperlink" Target="https://obgyn.onlinelibrary.wiley.com/doi/10.1002/ijgo.15970" TargetMode="External"/><Relationship Id="rId27" Type="http://schemas.openxmlformats.org/officeDocument/2006/relationships/hyperlink" Target="https://doi.org/10.1016/j.vaccine.2025.127332" TargetMode="External"/><Relationship Id="rId30" Type="http://schemas.openxmlformats.org/officeDocument/2006/relationships/hyperlink" Target="https://jamanetwork.com/journals/jamanetworkopen/fullarticle/2836417" TargetMode="External"/><Relationship Id="rId35" Type="http://schemas.openxmlformats.org/officeDocument/2006/relationships/hyperlink" Target="https://publications.aap.org/pediatrics/article/154/6/e2024066461/199963/Cost-Effectiveness-of-Nirsevimab-for-Respiratory" TargetMode="External"/><Relationship Id="rId43" Type="http://schemas.openxmlformats.org/officeDocument/2006/relationships/hyperlink" Target="https://www.sciencedirect.com/science/article/pii/S0264410X25003032" TargetMode="External"/><Relationship Id="rId48" Type="http://schemas.openxmlformats.org/officeDocument/2006/relationships/hyperlink" Target="https://www.sciencedirect.com/science/article/pii/S0264410X25000982?dgcid=author" TargetMode="External"/><Relationship Id="rId56" Type="http://schemas.openxmlformats.org/officeDocument/2006/relationships/hyperlink" Target="https://doi.org/10.1080/21645515.2025.2480870" TargetMode="External"/><Relationship Id="rId64" Type="http://schemas.openxmlformats.org/officeDocument/2006/relationships/hyperlink" Target="https://academic.oup.com/cid/advance-article/doi/10.1093/cid/ciaf069/8082945?searchresult=1&amp;login=true" TargetMode="External"/><Relationship Id="rId69" Type="http://schemas.openxmlformats.org/officeDocument/2006/relationships/hyperlink" Target="https://doi.org/10.1016/j.vaccine.2026.128212" TargetMode="External"/><Relationship Id="rId8" Type="http://schemas.openxmlformats.org/officeDocument/2006/relationships/hyperlink" Target="https://www.cdc.gov/mmwr/volumes/73/wr/mm7336a3.htm" TargetMode="External"/><Relationship Id="rId51" Type="http://schemas.openxmlformats.org/officeDocument/2006/relationships/hyperlink" Target="https://www.cdc.gov/mmwr/volumes/74/wr/mm7422a3.htm?s_cid=mm7422a3_w" TargetMode="External"/><Relationship Id="rId72" Type="http://schemas.openxmlformats.org/officeDocument/2006/relationships/printerSettings" Target="../printerSettings/printerSettings3.bin"/><Relationship Id="rId3" Type="http://schemas.openxmlformats.org/officeDocument/2006/relationships/hyperlink" Target="https://doi.org/10.1093/infdis/jiae340" TargetMode="External"/><Relationship Id="rId12" Type="http://schemas.openxmlformats.org/officeDocument/2006/relationships/hyperlink" Target="https://doi.org/10.1016/j.vaccine.2024.01.095" TargetMode="External"/><Relationship Id="rId17" Type="http://schemas.openxmlformats.org/officeDocument/2006/relationships/hyperlink" Target="https://doi.org/10.1016/j.vaccine.2025.127006" TargetMode="External"/><Relationship Id="rId25" Type="http://schemas.openxmlformats.org/officeDocument/2006/relationships/hyperlink" Target="https://www.cdc.gov/mmwr/volumes/74/wr/mm7422a3.htm?s_cid=mm7422a3_w" TargetMode="External"/><Relationship Id="rId33" Type="http://schemas.openxmlformats.org/officeDocument/2006/relationships/hyperlink" Target="https://www.sciencedirect.com/science/article/pii/S0264410X25003408?dgcid=author" TargetMode="External"/><Relationship Id="rId38" Type="http://schemas.openxmlformats.org/officeDocument/2006/relationships/hyperlink" Target="http://dx.doi.org/10.15585/mmwr.mm7331a2" TargetMode="External"/><Relationship Id="rId46" Type="http://schemas.openxmlformats.org/officeDocument/2006/relationships/hyperlink" Target="https://jamanetwork.com/journals/jamanetworkopen/fullarticle/2836417" TargetMode="External"/><Relationship Id="rId59" Type="http://schemas.openxmlformats.org/officeDocument/2006/relationships/hyperlink" Target="https://doi.org/10.1377/hlthaff.2025.00050" TargetMode="External"/><Relationship Id="rId67" Type="http://schemas.openxmlformats.org/officeDocument/2006/relationships/hyperlink" Target="https://www.cdc.gov/mmwr/volumes/75/wr/mm7501a2.htm" TargetMode="External"/><Relationship Id="rId20" Type="http://schemas.openxmlformats.org/officeDocument/2006/relationships/hyperlink" Target="https://doi.org/10.1111/jrh.12913" TargetMode="External"/><Relationship Id="rId41" Type="http://schemas.openxmlformats.org/officeDocument/2006/relationships/hyperlink" Target="https://obgyn.onlinelibrary.wiley.com/doi/10.1002/ijgo.15970" TargetMode="External"/><Relationship Id="rId54" Type="http://schemas.openxmlformats.org/officeDocument/2006/relationships/hyperlink" Target="https://doi.org/10.1016/j.vaccine.2025.127043" TargetMode="External"/><Relationship Id="rId62" Type="http://schemas.openxmlformats.org/officeDocument/2006/relationships/hyperlink" Target="https://www.sciencedirect.com/science/article/pii/S0264410X25009211" TargetMode="External"/><Relationship Id="rId70" Type="http://schemas.openxmlformats.org/officeDocument/2006/relationships/hyperlink" Target="https://doi.org/10.1177/26884844261432105" TargetMode="External"/><Relationship Id="rId1" Type="http://schemas.openxmlformats.org/officeDocument/2006/relationships/hyperlink" Target="https://doi.org/10.1177/00333549231208642" TargetMode="External"/><Relationship Id="rId6" Type="http://schemas.openxmlformats.org/officeDocument/2006/relationships/hyperlink" Target="https://www.sciencedirect.com/science/article/pii/S0264410X24010545?dgcid=coauthor" TargetMode="External"/><Relationship Id="rId15" Type="http://schemas.openxmlformats.org/officeDocument/2006/relationships/hyperlink" Target="https://www.cdc.gov/rsvvaxview/publications/rsv-immunization-survey-2024.html" TargetMode="External"/><Relationship Id="rId23" Type="http://schemas.openxmlformats.org/officeDocument/2006/relationships/hyperlink" Target="https://doi.org/10.1002/hec.4974" TargetMode="External"/><Relationship Id="rId28" Type="http://schemas.openxmlformats.org/officeDocument/2006/relationships/hyperlink" Target="https://www.sciencedirect.com/science/article/pii/S2950541025000225" TargetMode="External"/><Relationship Id="rId36" Type="http://schemas.openxmlformats.org/officeDocument/2006/relationships/hyperlink" Target="https://publications.aap.org/pediatrics/article/154/6/e2024066481/199962/Cost-Effectiveness-of-Maternal-Vaccination-to" TargetMode="External"/><Relationship Id="rId49" Type="http://schemas.openxmlformats.org/officeDocument/2006/relationships/hyperlink" Target="https://www.sciencedirect.com/science/article/pii/S0264410X25003408?dgcid=author" TargetMode="External"/><Relationship Id="rId57" Type="http://schemas.openxmlformats.org/officeDocument/2006/relationships/hyperlink" Target="https://journals.lww.com/pidj/abstract/2025/09000/three_cases_of_adolescent_orf_virus_skin_and_soft.23.aspx" TargetMode="External"/><Relationship Id="rId10" Type="http://schemas.openxmlformats.org/officeDocument/2006/relationships/hyperlink" Target="https://publications.aap.org/pediatrics/article/154/6/e2024066461/199963/Cost-Effectiveness-of-Nirsevimab-for-Respiratory" TargetMode="External"/><Relationship Id="rId31" Type="http://schemas.openxmlformats.org/officeDocument/2006/relationships/hyperlink" Target="https://doi.org/10.1016/j.vaccine.2025.126801" TargetMode="External"/><Relationship Id="rId44" Type="http://schemas.openxmlformats.org/officeDocument/2006/relationships/hyperlink" Target="https://doi.org/10.1111/jrh.12913" TargetMode="External"/><Relationship Id="rId52" Type="http://schemas.openxmlformats.org/officeDocument/2006/relationships/hyperlink" Target="https://doi.org/10.1016/j.vaccine.2024.05.055" TargetMode="External"/><Relationship Id="rId60" Type="http://schemas.openxmlformats.org/officeDocument/2006/relationships/hyperlink" Target="https://doi.org/10.1016/j.vaccine.2025.127665" TargetMode="External"/><Relationship Id="rId65" Type="http://schemas.openxmlformats.org/officeDocument/2006/relationships/hyperlink" Target="https://academic.oup.com/cid/advance-article/doi/10.1093/cid/ciaf069/8082945?searchresult=1&amp;login=true" TargetMode="External"/><Relationship Id="rId4" Type="http://schemas.openxmlformats.org/officeDocument/2006/relationships/hyperlink" Target="https://doi.org/10.1016/j.vaccine.2024.06.043" TargetMode="External"/><Relationship Id="rId9" Type="http://schemas.openxmlformats.org/officeDocument/2006/relationships/hyperlink" Target="https://publications.aap.org/pediatrics/article/154/6/e2024066481/199962/Cost-Effectiveness-of-Maternal-Vaccination-to" TargetMode="External"/><Relationship Id="rId13" Type="http://schemas.openxmlformats.org/officeDocument/2006/relationships/hyperlink" Target="https://www.cdc.gov/adultvaxview/publications-resources/vaccination-coverage-adults-2021.html" TargetMode="External"/><Relationship Id="rId18" Type="http://schemas.openxmlformats.org/officeDocument/2006/relationships/hyperlink" Target="https://obgyn.onlinelibrary.wiley.com/doi/10.1002/ijgo.15970" TargetMode="External"/><Relationship Id="rId39" Type="http://schemas.openxmlformats.org/officeDocument/2006/relationships/hyperlink" Target="https://www.cdc.gov/mmwr/volumes/73/wr/mm7336a3.htm" TargetMode="External"/><Relationship Id="rId34" Type="http://schemas.openxmlformats.org/officeDocument/2006/relationships/hyperlink" Target="https://www.cdc.gov/adultvaxview/publications-resources/vaccination-coverage-adults-2021.html" TargetMode="External"/><Relationship Id="rId50" Type="http://schemas.openxmlformats.org/officeDocument/2006/relationships/hyperlink" Target="https://www.sciencedirect.com/science/article/pii/S2950541025000225" TargetMode="External"/><Relationship Id="rId55" Type="http://schemas.openxmlformats.org/officeDocument/2006/relationships/hyperlink" Target="https://doi.org/10.1016/j.jpedcp.2025.200160"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jamanetwork.com/journals/jamanetworkopen/fullarticle/2847512?guestAccessKey=3321c8cc-f959-4187-ab62-863e3da06d7b&amp;utm_source=jps&amp;utm_medium=email&amp;utm_campaign=author_alert-jamanetwork&amp;utm_content=author-author_engagement&amp;utm_term=1m" TargetMode="External"/><Relationship Id="rId1" Type="http://schemas.openxmlformats.org/officeDocument/2006/relationships/hyperlink" Target="https://doi.org/10.1007/s10900-023-01241-5"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doi.org/10.1016/j.vaccine.2024.01.053" TargetMode="External"/><Relationship Id="rId2" Type="http://schemas.openxmlformats.org/officeDocument/2006/relationships/hyperlink" Target="https://doi.org/10.1016/j.vaccine.2023.12.064" TargetMode="External"/><Relationship Id="rId1" Type="http://schemas.openxmlformats.org/officeDocument/2006/relationships/hyperlink" Target="https://doi.org/10.1016/j.vaccine.2023.12.022." TargetMode="External"/><Relationship Id="rId5" Type="http://schemas.openxmlformats.org/officeDocument/2006/relationships/printerSettings" Target="../printerSettings/printerSettings6.bin"/><Relationship Id="rId4" Type="http://schemas.openxmlformats.org/officeDocument/2006/relationships/hyperlink" Target="http://dx.doi.org/10.15585/mmwr.mm7521a1"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cdc.gov/yellow-book/hcp/preparing-international-travelers/vaccination-and-immunoprophylaxis-general-principles.html" TargetMode="External"/><Relationship Id="rId7" Type="http://schemas.openxmlformats.org/officeDocument/2006/relationships/printerSettings" Target="../printerSettings/printerSettings8.bin"/><Relationship Id="rId2" Type="http://schemas.openxmlformats.org/officeDocument/2006/relationships/hyperlink" Target="https://www.cdc.gov/yellow-book/hcp/travelers-with-additional-considerations/immunocompromised-travelers.html" TargetMode="External"/><Relationship Id="rId1" Type="http://schemas.openxmlformats.org/officeDocument/2006/relationships/hyperlink" Target="https://wwwnc.cdc.gov/travel/yellowbook/2024/preparing/vaccination-and-immunoprophylaxis-general-principles" TargetMode="External"/><Relationship Id="rId6" Type="http://schemas.openxmlformats.org/officeDocument/2006/relationships/hyperlink" Target="https://academic.oup.com/cid/advance-article/doi/10.1093/cid/ciaf399/8210664" TargetMode="External"/><Relationship Id="rId5" Type="http://schemas.openxmlformats.org/officeDocument/2006/relationships/hyperlink" Target="https://bmcneurol.biomedcentral.com/articles/10.1186/s12883-024-03872-0" TargetMode="External"/><Relationship Id="rId4" Type="http://schemas.openxmlformats.org/officeDocument/2006/relationships/hyperlink" Target="https://pmc.ncbi.nlm.nih.gov/articles/PMC11906784/"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doi.org/10.1080/21645515.2025.2480870" TargetMode="External"/><Relationship Id="rId117" Type="http://schemas.openxmlformats.org/officeDocument/2006/relationships/hyperlink" Target="https://bmcneurol.biomedcentral.com/articles/10.1186/s12883-024-03872-0" TargetMode="External"/><Relationship Id="rId21" Type="http://schemas.openxmlformats.org/officeDocument/2006/relationships/hyperlink" Target="https://www.cdc.gov/rsvvaxview/publications/rsv-immunization-survey-2024.html" TargetMode="External"/><Relationship Id="rId42" Type="http://schemas.openxmlformats.org/officeDocument/2006/relationships/hyperlink" Target="https://doi.org/10.1016/j.vaccine.2025.127332" TargetMode="External"/><Relationship Id="rId47" Type="http://schemas.openxmlformats.org/officeDocument/2006/relationships/hyperlink" Target="https://doi.org/10.1016/j.vaccine.2024.05.055" TargetMode="External"/><Relationship Id="rId63" Type="http://schemas.openxmlformats.org/officeDocument/2006/relationships/hyperlink" Target="https://www.cdc.gov/adultvaxview/publications-resources/pandemic-impact-on-ppv.html" TargetMode="External"/><Relationship Id="rId68" Type="http://schemas.openxmlformats.org/officeDocument/2006/relationships/hyperlink" Target="https://www.cdc.gov/adultvaxview/publications-resources/adult-vaccination-coverage-2022.html?CDC_AAref_Val=https://www.cdc.gov/vaccines/imz-managers/coverage/adultvaxview/pubs-resources/vaccination-coverage-adults-2022.html" TargetMode="External"/><Relationship Id="rId84" Type="http://schemas.openxmlformats.org/officeDocument/2006/relationships/hyperlink" Target="https://doi.org/10.1542/hpeds.2024-008074" TargetMode="External"/><Relationship Id="rId89" Type="http://schemas.openxmlformats.org/officeDocument/2006/relationships/hyperlink" Target="https://www.sciencedirect.com/science/article/pii/S0264410X24002718" TargetMode="External"/><Relationship Id="rId112" Type="http://schemas.openxmlformats.org/officeDocument/2006/relationships/hyperlink" Target="https://www.frontiersin.org/journals/health-services/articles/10.3389/frhs.2025.1562651/full" TargetMode="External"/><Relationship Id="rId16" Type="http://schemas.openxmlformats.org/officeDocument/2006/relationships/hyperlink" Target="http://dx.doi.org/10.15585/mmwr.mm7422a3" TargetMode="External"/><Relationship Id="rId107" Type="http://schemas.openxmlformats.org/officeDocument/2006/relationships/hyperlink" Target="https://onlinelibrary.wiley.com/doi/10.1002/hec.4974" TargetMode="External"/><Relationship Id="rId11" Type="http://schemas.openxmlformats.org/officeDocument/2006/relationships/hyperlink" Target="https://doi.org/10.1016/j.vaccine.2024.126560" TargetMode="External"/><Relationship Id="rId32" Type="http://schemas.openxmlformats.org/officeDocument/2006/relationships/hyperlink" Target="https://doi.org/10.1016/j.vaccine.2024.06.043" TargetMode="External"/><Relationship Id="rId37" Type="http://schemas.openxmlformats.org/officeDocument/2006/relationships/hyperlink" Target="https://doi.org/10.1016/j.vaccine.2025.127006" TargetMode="External"/><Relationship Id="rId53" Type="http://schemas.openxmlformats.org/officeDocument/2006/relationships/hyperlink" Target="http://dx.doi.org/10.15585/mmwr.mm7245a2" TargetMode="External"/><Relationship Id="rId58" Type="http://schemas.openxmlformats.org/officeDocument/2006/relationships/hyperlink" Target="https://www.cdc.gov/vaccines/imz-managers/coverage/teenvaxview/downloads/Error-Profile-2023-NIS-Teen.pdf" TargetMode="External"/><Relationship Id="rId74" Type="http://schemas.openxmlformats.org/officeDocument/2006/relationships/hyperlink" Target="https://www.cdc.gov/mmwr/volumes/73/wr/mm7333a1.htm" TargetMode="External"/><Relationship Id="rId79" Type="http://schemas.openxmlformats.org/officeDocument/2006/relationships/hyperlink" Target="https://www.sciencedirect.com/science/article/pii/S0264410X24010545?dgcid=coauthor" TargetMode="External"/><Relationship Id="rId102" Type="http://schemas.openxmlformats.org/officeDocument/2006/relationships/hyperlink" Target="https://onlinelibrary.wiley.com/doi/10.1002/cam4.70761" TargetMode="External"/><Relationship Id="rId123" Type="http://schemas.openxmlformats.org/officeDocument/2006/relationships/hyperlink" Target="https://www.sciencedirect.com/journal/journal-of-reproductive-immunology/vol/163/suppl/C" TargetMode="External"/><Relationship Id="rId5" Type="http://schemas.openxmlformats.org/officeDocument/2006/relationships/hyperlink" Target="https://doi.org/10.1016/j.ypmed.2024.107936" TargetMode="External"/><Relationship Id="rId90" Type="http://schemas.openxmlformats.org/officeDocument/2006/relationships/hyperlink" Target="https://www.cdc.gov/mmwr/volumes/73/wr/mm7313a2.htm" TargetMode="External"/><Relationship Id="rId95" Type="http://schemas.openxmlformats.org/officeDocument/2006/relationships/hyperlink" Target="https://publications.aap.org/pediatrics/article/154/6/e2024066461/199963/Cost-Effectiveness-of-Nirsevimab-for-Respiratory" TargetMode="External"/><Relationship Id="rId22" Type="http://schemas.openxmlformats.org/officeDocument/2006/relationships/hyperlink" Target="https://doi.org/10.1016/j.vaccine.2024.05.055" TargetMode="External"/><Relationship Id="rId27" Type="http://schemas.openxmlformats.org/officeDocument/2006/relationships/hyperlink" Target="https://journals.lww.com/pidj/abstract/2025/09000/three_cases_of_adolescent_orf_virus_skin_and_soft.23.aspx" TargetMode="External"/><Relationship Id="rId43" Type="http://schemas.openxmlformats.org/officeDocument/2006/relationships/hyperlink" Target="https://doi.org/10.3389/frhs.2025.1562651" TargetMode="External"/><Relationship Id="rId48" Type="http://schemas.openxmlformats.org/officeDocument/2006/relationships/hyperlink" Target="https://doi.org/10.1542/peds.2024-066481" TargetMode="External"/><Relationship Id="rId64" Type="http://schemas.openxmlformats.org/officeDocument/2006/relationships/hyperlink" Target="https://www.cdc.gov/adultvaxview/publications-resources/adult-vaccination-coverage-2022.html" TargetMode="External"/><Relationship Id="rId69" Type="http://schemas.openxmlformats.org/officeDocument/2006/relationships/hyperlink" Target="https://www.cdc.gov/covidvaxview/publications/reasons-no-covid-19-vaccation-2023.html" TargetMode="External"/><Relationship Id="rId113" Type="http://schemas.openxmlformats.org/officeDocument/2006/relationships/hyperlink" Target="https://wwwnc.cdc.gov/travel/yellowbook/2024/preparing/vaccination-and-immunoprophylaxis-general-principles" TargetMode="External"/><Relationship Id="rId118" Type="http://schemas.openxmlformats.org/officeDocument/2006/relationships/hyperlink" Target="https://academic.oup.com/cid/advance-article/doi/10.1093/cid/ciaf399/8210664" TargetMode="External"/><Relationship Id="rId80" Type="http://schemas.openxmlformats.org/officeDocument/2006/relationships/hyperlink" Target="https://pubmed.ncbi.nlm.nih.gov/39615345/" TargetMode="External"/><Relationship Id="rId85" Type="http://schemas.openxmlformats.org/officeDocument/2006/relationships/hyperlink" Target="https://doi.org/10.1016/j.vaccine.2023.12.005" TargetMode="External"/><Relationship Id="rId12" Type="http://schemas.openxmlformats.org/officeDocument/2006/relationships/hyperlink" Target="https://doi.org/10.1016/j.vaccine.2025.127006" TargetMode="External"/><Relationship Id="rId17" Type="http://schemas.openxmlformats.org/officeDocument/2006/relationships/hyperlink" Target="https://doi.org/10.1016/j.vaccine.2025.127332" TargetMode="External"/><Relationship Id="rId33" Type="http://schemas.openxmlformats.org/officeDocument/2006/relationships/hyperlink" Target="https://doi.org/10.1016/j.vaccine.2024.01.095" TargetMode="External"/><Relationship Id="rId38" Type="http://schemas.openxmlformats.org/officeDocument/2006/relationships/hyperlink" Target="https://doi.org/10.1002/ijgo.15970" TargetMode="External"/><Relationship Id="rId59" Type="http://schemas.openxmlformats.org/officeDocument/2006/relationships/hyperlink" Target="https://www.cdc.gov/fluvaxview/coverage-by-season/pregnant-april-2024.html" TargetMode="External"/><Relationship Id="rId103" Type="http://schemas.openxmlformats.org/officeDocument/2006/relationships/hyperlink" Target="https://www.sciencedirect.com/science/article/pii/S0264410X25003032" TargetMode="External"/><Relationship Id="rId108" Type="http://schemas.openxmlformats.org/officeDocument/2006/relationships/hyperlink" Target="https://www.sciencedirect.com/science/article/pii/S0264410X25000982?dgcid=author" TargetMode="External"/><Relationship Id="rId124" Type="http://schemas.openxmlformats.org/officeDocument/2006/relationships/hyperlink" Target="https://doi.org/10.1016/j.vaccine.2026.128212" TargetMode="External"/><Relationship Id="rId54" Type="http://schemas.openxmlformats.org/officeDocument/2006/relationships/hyperlink" Target="https://doi.org/10.15585/mmwr.mm7251a4" TargetMode="External"/><Relationship Id="rId70" Type="http://schemas.openxmlformats.org/officeDocument/2006/relationships/hyperlink" Target="https://www.cdc.gov/respvaxview/publications/reasons-for-nonvaccination-2023-24.html" TargetMode="External"/><Relationship Id="rId75" Type="http://schemas.openxmlformats.org/officeDocument/2006/relationships/hyperlink" Target="https://www.cdc.gov/mmwr/volumes/73/wr/mm7333e1.htm" TargetMode="External"/><Relationship Id="rId91" Type="http://schemas.openxmlformats.org/officeDocument/2006/relationships/hyperlink" Target="https://pubmed.ncbi.nlm.nih.gov/38797629/" TargetMode="External"/><Relationship Id="rId96" Type="http://schemas.openxmlformats.org/officeDocument/2006/relationships/hyperlink" Target="https://publications.aap.org/pediatrics/article/154/6/e2024066481/199962/Cost-Effectiveness-of-Maternal-Vaccination-to" TargetMode="External"/><Relationship Id="rId1" Type="http://schemas.openxmlformats.org/officeDocument/2006/relationships/hyperlink" Target="https://doi.org/10.1016/j.vaccine.2023.12.022." TargetMode="External"/><Relationship Id="rId6" Type="http://schemas.openxmlformats.org/officeDocument/2006/relationships/hyperlink" Target="https://doi.org/10.1093/infdis/jiae340" TargetMode="External"/><Relationship Id="rId23" Type="http://schemas.openxmlformats.org/officeDocument/2006/relationships/hyperlink" Target="https://doi.org/10.1542/peds.2024-066481" TargetMode="External"/><Relationship Id="rId28" Type="http://schemas.openxmlformats.org/officeDocument/2006/relationships/hyperlink" Target="https://doi.org/10.1007/s10900-023-01241-5" TargetMode="External"/><Relationship Id="rId49" Type="http://schemas.openxmlformats.org/officeDocument/2006/relationships/hyperlink" Target="https://doi.org/10.1016/j.vaccine.2025.127043" TargetMode="External"/><Relationship Id="rId114" Type="http://schemas.openxmlformats.org/officeDocument/2006/relationships/hyperlink" Target="https://www.cdc.gov/yellow-book/hcp/travelers-with-additional-considerations/immunocompromised-travelers.html" TargetMode="External"/><Relationship Id="rId119" Type="http://schemas.openxmlformats.org/officeDocument/2006/relationships/hyperlink" Target="https://doi.org/10.1177/00333549231208642" TargetMode="External"/><Relationship Id="rId44" Type="http://schemas.openxmlformats.org/officeDocument/2006/relationships/hyperlink" Target="https://doi.org/10.1002/ijgo.15970" TargetMode="External"/><Relationship Id="rId60" Type="http://schemas.openxmlformats.org/officeDocument/2006/relationships/hyperlink" Target="https://www.cdc.gov/fluvaxview/coverage-by-season/2023-2024.html" TargetMode="External"/><Relationship Id="rId65" Type="http://schemas.openxmlformats.org/officeDocument/2006/relationships/hyperlink" Target="https://www.sciencedirect.com/science/article/pii/S2590136225000348" TargetMode="External"/><Relationship Id="rId81" Type="http://schemas.openxmlformats.org/officeDocument/2006/relationships/hyperlink" Target="https://pubmed.ncbi.nlm.nih.gov/39579649/" TargetMode="External"/><Relationship Id="rId86" Type="http://schemas.openxmlformats.org/officeDocument/2006/relationships/hyperlink" Target="http://dx.doi.org/10.15585/mmwr.mm7431a3" TargetMode="External"/><Relationship Id="rId13" Type="http://schemas.openxmlformats.org/officeDocument/2006/relationships/hyperlink" Target="https://doi.org/10.1002/ijgo.15970" TargetMode="External"/><Relationship Id="rId18" Type="http://schemas.openxmlformats.org/officeDocument/2006/relationships/hyperlink" Target="https://doi.org/10.3389/frhs.2025.1562651" TargetMode="External"/><Relationship Id="rId39" Type="http://schemas.openxmlformats.org/officeDocument/2006/relationships/hyperlink" Target="https://doi.org/10.1111/jrh.12913" TargetMode="External"/><Relationship Id="rId109" Type="http://schemas.openxmlformats.org/officeDocument/2006/relationships/hyperlink" Target="https://www.sciencedirect.com/science/article/pii/S0264410X25003408?dgcid=author" TargetMode="External"/><Relationship Id="rId34" Type="http://schemas.openxmlformats.org/officeDocument/2006/relationships/hyperlink" Target="https://doi.org/10.1016/j.vaccine.2024.126667" TargetMode="External"/><Relationship Id="rId50" Type="http://schemas.openxmlformats.org/officeDocument/2006/relationships/hyperlink" Target="https://doi.org/10.1016/j.jpedcp.2025.200160" TargetMode="External"/><Relationship Id="rId55" Type="http://schemas.openxmlformats.org/officeDocument/2006/relationships/hyperlink" Target="https://doi.org/10.1016/j.vaccine.2023.12.046" TargetMode="External"/><Relationship Id="rId76" Type="http://schemas.openxmlformats.org/officeDocument/2006/relationships/hyperlink" Target="https://www.cdc.gov/vaccines/imz-managers/coverage/adultvaxview/pubs-resources/vaccination-coverage-adults-2022.html" TargetMode="External"/><Relationship Id="rId97" Type="http://schemas.openxmlformats.org/officeDocument/2006/relationships/hyperlink" Target="https://www.sciencedirect.com/science/article/pii/S0264410X24010545?dgcid=coauthor" TargetMode="External"/><Relationship Id="rId104" Type="http://schemas.openxmlformats.org/officeDocument/2006/relationships/hyperlink" Target="https://doi.org/10.1111/jrh.12913" TargetMode="External"/><Relationship Id="rId120" Type="http://schemas.openxmlformats.org/officeDocument/2006/relationships/hyperlink" Target="https://www.sciencedirect.com/science/article/pii/S0165037824000524?via%3Dihub" TargetMode="External"/><Relationship Id="rId125" Type="http://schemas.openxmlformats.org/officeDocument/2006/relationships/hyperlink" Target="https://www.sciencedirect.com/science/article/pii/S0749379726001558" TargetMode="External"/><Relationship Id="rId7" Type="http://schemas.openxmlformats.org/officeDocument/2006/relationships/hyperlink" Target="https://doi.org/10.1016/j.vaccine.2024.06.043" TargetMode="External"/><Relationship Id="rId71" Type="http://schemas.openxmlformats.org/officeDocument/2006/relationships/hyperlink" Target="https://www.cdc.gov/teenvaxview/publications/us-pacific-island-coverage-estimates-2013-2024.html" TargetMode="External"/><Relationship Id="rId92" Type="http://schemas.openxmlformats.org/officeDocument/2006/relationships/hyperlink" Target="https://www.nature.com/articles/s41372-024-02139-3" TargetMode="External"/><Relationship Id="rId2" Type="http://schemas.openxmlformats.org/officeDocument/2006/relationships/hyperlink" Target="https://doi.org/10.1016/j.vaccine.2023.12.064" TargetMode="External"/><Relationship Id="rId29" Type="http://schemas.openxmlformats.org/officeDocument/2006/relationships/hyperlink" Target="https://doi.org/10.1177/00333549231208642" TargetMode="External"/><Relationship Id="rId24" Type="http://schemas.openxmlformats.org/officeDocument/2006/relationships/hyperlink" Target="https://doi.org/10.1016/j.vaccine.2025.127043" TargetMode="External"/><Relationship Id="rId40" Type="http://schemas.openxmlformats.org/officeDocument/2006/relationships/hyperlink" Target="https://doi.org/10.1002/hec.4974" TargetMode="External"/><Relationship Id="rId45" Type="http://schemas.openxmlformats.org/officeDocument/2006/relationships/hyperlink" Target="https://doi.org/10.1016/j.vaccine.2025.126801" TargetMode="External"/><Relationship Id="rId66" Type="http://schemas.openxmlformats.org/officeDocument/2006/relationships/hyperlink" Target="https://www.sciencedirect.com/science/article/pii/S0264410X25007121?dgcid=author%20%20%20%20Parental%20Reasons%20for%20Non-Receipt%20of%20Influenza%20Vaccination%20Among%20Children%206%20Months&#8211;17%20Years%20and%20Changes%20Over%20Time,%202015&#8211;2024%20by%20Katherine%20E.%20Kahn,%20Tammy%20A.%20Santibanez,%20Anurag%20Jain,%20Tianyi%20Zhou,%20Carla%20L.%20Black%20::%20SSRN" TargetMode="External"/><Relationship Id="rId87" Type="http://schemas.openxmlformats.org/officeDocument/2006/relationships/hyperlink" Target="https://www.sciencedirect.com/science/article/pii/S0264410X2301438X" TargetMode="External"/><Relationship Id="rId110" Type="http://schemas.openxmlformats.org/officeDocument/2006/relationships/hyperlink" Target="https://www.sciencedirect.com/science/article/pii/S2950541025000225" TargetMode="External"/><Relationship Id="rId115" Type="http://schemas.openxmlformats.org/officeDocument/2006/relationships/hyperlink" Target="https://www.cdc.gov/yellow-book/hcp/preparing-international-travelers/vaccination-and-immunoprophylaxis-general-principles.html" TargetMode="External"/><Relationship Id="rId61" Type="http://schemas.openxmlformats.org/officeDocument/2006/relationships/hyperlink" Target="https://www.cdc.gov/fluvaxview/coverage-by-season/health-care-personnel-coverage-2023-24.html" TargetMode="External"/><Relationship Id="rId82" Type="http://schemas.openxmlformats.org/officeDocument/2006/relationships/hyperlink" Target="https://publications.aap.org/pediatrics/article/doi/10.1542/peds.2024-070240/201878/Infant-Respiratory-Syncytial-Virus-Immunization?searchresult=1?autologincheck=redirected" TargetMode="External"/><Relationship Id="rId19" Type="http://schemas.openxmlformats.org/officeDocument/2006/relationships/hyperlink" Target="https://doi.org/10.1002/ijgo.15970" TargetMode="External"/><Relationship Id="rId14" Type="http://schemas.openxmlformats.org/officeDocument/2006/relationships/hyperlink" Target="https://doi.org/10.1111/jrh.12913" TargetMode="External"/><Relationship Id="rId30" Type="http://schemas.openxmlformats.org/officeDocument/2006/relationships/hyperlink" Target="https://doi.org/10.1016/j.ypmed.2024.107936" TargetMode="External"/><Relationship Id="rId35" Type="http://schemas.openxmlformats.org/officeDocument/2006/relationships/hyperlink" Target="https://doi.org/10.1016/j.vaccine.2024.01.095" TargetMode="External"/><Relationship Id="rId56" Type="http://schemas.openxmlformats.org/officeDocument/2006/relationships/hyperlink" Target="https://authors.elsevier.com/c/1j9jv,60n7r~TE" TargetMode="External"/><Relationship Id="rId77" Type="http://schemas.openxmlformats.org/officeDocument/2006/relationships/hyperlink" Target="https://www.cdc.gov/mmwr/volumes/73/wr/mm7338a3.htm?s_cid=mm7338a3_w" TargetMode="External"/><Relationship Id="rId100" Type="http://schemas.openxmlformats.org/officeDocument/2006/relationships/hyperlink" Target="https://obgyn.onlinelibrary.wiley.com/doi/10.1002/ijgo.15970" TargetMode="External"/><Relationship Id="rId105" Type="http://schemas.openxmlformats.org/officeDocument/2006/relationships/hyperlink" Target="https://obgyn.onlinelibrary.wiley.com/doi/10.1002/ijgo.15970" TargetMode="External"/><Relationship Id="rId126" Type="http://schemas.openxmlformats.org/officeDocument/2006/relationships/printerSettings" Target="../printerSettings/printerSettings9.bin"/><Relationship Id="rId8" Type="http://schemas.openxmlformats.org/officeDocument/2006/relationships/hyperlink" Target="https://doi.org/10.1016/j.vaccine.2024.01.095" TargetMode="External"/><Relationship Id="rId51" Type="http://schemas.openxmlformats.org/officeDocument/2006/relationships/hyperlink" Target="https://doi.org/10.1080/21645515.2025.2480870" TargetMode="External"/><Relationship Id="rId72" Type="http://schemas.openxmlformats.org/officeDocument/2006/relationships/hyperlink" Target="https://www.foodsystemsjournal.org/index.php/fsj/article/view/1232" TargetMode="External"/><Relationship Id="rId93" Type="http://schemas.openxmlformats.org/officeDocument/2006/relationships/hyperlink" Target="https://www.thieme-connect.de/products/ejournals/abstract/10.1055/a-2255-9749" TargetMode="External"/><Relationship Id="rId98" Type="http://schemas.openxmlformats.org/officeDocument/2006/relationships/hyperlink" Target="http://dx.doi.org/10.15585/mmwr.mm7331a2" TargetMode="External"/><Relationship Id="rId121" Type="http://schemas.openxmlformats.org/officeDocument/2006/relationships/hyperlink" Target="https://doi.org/10.1016/j.vaccine.2024.04.043" TargetMode="External"/><Relationship Id="rId3" Type="http://schemas.openxmlformats.org/officeDocument/2006/relationships/hyperlink" Target="https://doi.org/10.1016/j.vaccine.2024.01.053" TargetMode="External"/><Relationship Id="rId25" Type="http://schemas.openxmlformats.org/officeDocument/2006/relationships/hyperlink" Target="https://doi.org/10.1016/j.jpedcp.2025.200160" TargetMode="External"/><Relationship Id="rId46" Type="http://schemas.openxmlformats.org/officeDocument/2006/relationships/hyperlink" Target="https://www.cdc.gov/rsvvaxview/publications/rsv-immunization-survey-2024.html" TargetMode="External"/><Relationship Id="rId67" Type="http://schemas.openxmlformats.org/officeDocument/2006/relationships/hyperlink" Target="https://www.cdc.gov/respvaxview/publications/pregnancy-coverage-estimation.html" TargetMode="External"/><Relationship Id="rId116" Type="http://schemas.openxmlformats.org/officeDocument/2006/relationships/hyperlink" Target="https://pmc.ncbi.nlm.nih.gov/articles/PMC11906784/" TargetMode="External"/><Relationship Id="rId20" Type="http://schemas.openxmlformats.org/officeDocument/2006/relationships/hyperlink" Target="https://doi.org/10.1016/j.vaccine.2025.126801" TargetMode="External"/><Relationship Id="rId41" Type="http://schemas.openxmlformats.org/officeDocument/2006/relationships/hyperlink" Target="http://dx.doi.org/10.15585/mmwr.mm7422a3" TargetMode="External"/><Relationship Id="rId62" Type="http://schemas.openxmlformats.org/officeDocument/2006/relationships/hyperlink" Target="https://www.childstats.gov/americaschildren/" TargetMode="External"/><Relationship Id="rId83" Type="http://schemas.openxmlformats.org/officeDocument/2006/relationships/hyperlink" Target="https://pubmed.ncbi.nlm.nih.gov/40129365/" TargetMode="External"/><Relationship Id="rId88" Type="http://schemas.openxmlformats.org/officeDocument/2006/relationships/hyperlink" Target="https://pubmed.ncbi.nlm.nih.gov/38302337/" TargetMode="External"/><Relationship Id="rId111" Type="http://schemas.openxmlformats.org/officeDocument/2006/relationships/hyperlink" Target="https://www.cdc.gov/mmwr/volumes/74/wr/mm7422a3.htm?s_cid=mm7422a3_w" TargetMode="External"/><Relationship Id="rId15" Type="http://schemas.openxmlformats.org/officeDocument/2006/relationships/hyperlink" Target="https://doi.org/10.1002/hec.4974" TargetMode="External"/><Relationship Id="rId36" Type="http://schemas.openxmlformats.org/officeDocument/2006/relationships/hyperlink" Target="https://doi.org/10.1016/j.vaccine.2024.126560" TargetMode="External"/><Relationship Id="rId57" Type="http://schemas.openxmlformats.org/officeDocument/2006/relationships/hyperlink" Target="https://doi.org/10.1016/j.vaccine.2024.07.040" TargetMode="External"/><Relationship Id="rId106" Type="http://schemas.openxmlformats.org/officeDocument/2006/relationships/hyperlink" Target="https://jamanetwork.com/journals/jamanetworkopen/fullarticle/2836417" TargetMode="External"/><Relationship Id="rId127" Type="http://schemas.openxmlformats.org/officeDocument/2006/relationships/table" Target="../tables/table2.xml"/><Relationship Id="rId10" Type="http://schemas.openxmlformats.org/officeDocument/2006/relationships/hyperlink" Target="https://doi.org/10.1016/j.vaccine.2024.01.095" TargetMode="External"/><Relationship Id="rId31" Type="http://schemas.openxmlformats.org/officeDocument/2006/relationships/hyperlink" Target="https://doi.org/10.1093/infdis/jiae340" TargetMode="External"/><Relationship Id="rId52" Type="http://schemas.openxmlformats.org/officeDocument/2006/relationships/hyperlink" Target="https://journals.lww.com/pidj/abstract/2025/09000/three_cases_of_adolescent_orf_virus_skin_and_soft.23.aspx" TargetMode="External"/><Relationship Id="rId73" Type="http://schemas.openxmlformats.org/officeDocument/2006/relationships/hyperlink" Target="https://www.sciencedirect.com/science/article/pii/S0264410X24008028" TargetMode="External"/><Relationship Id="rId78" Type="http://schemas.openxmlformats.org/officeDocument/2006/relationships/hyperlink" Target="https://www.cdc.gov/mmwr/volumes/73/wr/mm7338a4.htm?s_cid=mm7338a4_w" TargetMode="External"/><Relationship Id="rId94" Type="http://schemas.openxmlformats.org/officeDocument/2006/relationships/hyperlink" Target="https://www.cdc.gov/adultvaxview/publications-resources/vaccination-coverage-adults-2021.html" TargetMode="External"/><Relationship Id="rId99" Type="http://schemas.openxmlformats.org/officeDocument/2006/relationships/hyperlink" Target="https://www.cdc.gov/mmwr/volumes/73/wr/mm7336a3.htm" TargetMode="External"/><Relationship Id="rId101" Type="http://schemas.openxmlformats.org/officeDocument/2006/relationships/hyperlink" Target="https://academic.oup.com/cid/advance-article/doi/10.1093/cid/ciaf069/8082945?searchresult=1&amp;login=true" TargetMode="External"/><Relationship Id="rId122" Type="http://schemas.openxmlformats.org/officeDocument/2006/relationships/hyperlink" Target="https://doi.org/10.1016/j.vaccine.2023.12.061" TargetMode="External"/><Relationship Id="rId4" Type="http://schemas.openxmlformats.org/officeDocument/2006/relationships/hyperlink" Target="https://doi.org/10.1177/00333549231208642" TargetMode="External"/><Relationship Id="rId9" Type="http://schemas.openxmlformats.org/officeDocument/2006/relationships/hyperlink" Target="https://doi.org/10.1016/j.vaccine.2024.126667"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ciencedirect.com/journal/journal-of-reproductive-immunology/vol/163/suppl/C" TargetMode="External"/><Relationship Id="rId2" Type="http://schemas.openxmlformats.org/officeDocument/2006/relationships/hyperlink" Target="https://www.sciencedirect.com/science/article/pii/S0165037824000524?via%3Dihub" TargetMode="External"/><Relationship Id="rId1" Type="http://schemas.openxmlformats.org/officeDocument/2006/relationships/hyperlink" Target="https://doi.org/10.1177/00333549231208642" TargetMode="External"/><Relationship Id="rId6" Type="http://schemas.openxmlformats.org/officeDocument/2006/relationships/printerSettings" Target="../printerSettings/printerSettings10.bin"/><Relationship Id="rId5" Type="http://schemas.openxmlformats.org/officeDocument/2006/relationships/hyperlink" Target="https://doi.org/10.1016/j.vaccine.2023.12.061" TargetMode="External"/><Relationship Id="rId4" Type="http://schemas.openxmlformats.org/officeDocument/2006/relationships/hyperlink" Target="https://doi.org/10.1016/j.vaccine.2024.04.0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98"/>
  <sheetViews>
    <sheetView zoomScaleNormal="100" workbookViewId="0">
      <pane ySplit="1" topLeftCell="A81" activePane="bottomLeft" state="frozen"/>
      <selection pane="bottomLeft" activeCell="C1" sqref="C1"/>
    </sheetView>
  </sheetViews>
  <sheetFormatPr defaultColWidth="9.140625" defaultRowHeight="12.75" customHeight="1"/>
  <cols>
    <col min="1" max="1" width="20.85546875" style="36" customWidth="1"/>
    <col min="2" max="2" width="25.5703125" style="47" customWidth="1"/>
    <col min="3" max="3" width="43.140625" style="16" customWidth="1"/>
    <col min="4" max="4" width="41" style="16" customWidth="1"/>
    <col min="5" max="5" width="11.42578125" style="16" customWidth="1"/>
    <col min="6" max="6" width="11.42578125" style="16" hidden="1" customWidth="1"/>
    <col min="7" max="8" width="7.42578125" style="18" hidden="1" customWidth="1"/>
    <col min="9" max="9" width="11.7109375" style="16" customWidth="1"/>
    <col min="10" max="10" width="14.28515625" style="17" hidden="1" customWidth="1"/>
    <col min="11" max="11" width="26.42578125" style="16" customWidth="1"/>
    <col min="12" max="12" width="17" style="16" customWidth="1"/>
    <col min="13" max="13" width="13.140625" style="16" hidden="1" customWidth="1"/>
    <col min="14" max="14" width="14.42578125" style="25" bestFit="1" customWidth="1"/>
    <col min="15" max="15" width="17" style="16" customWidth="1"/>
    <col min="16" max="16" width="34.85546875" style="16" customWidth="1"/>
    <col min="17" max="16384" width="9.140625" style="16"/>
  </cols>
  <sheetData>
    <row r="1" spans="1:16" s="24" customFormat="1" ht="66.75" customHeight="1">
      <c r="A1" s="50" t="s">
        <v>0</v>
      </c>
      <c r="B1" s="101" t="s">
        <v>1</v>
      </c>
      <c r="C1" s="24" t="s">
        <v>2</v>
      </c>
      <c r="D1" s="3" t="s">
        <v>3</v>
      </c>
      <c r="E1" s="3" t="s">
        <v>4</v>
      </c>
      <c r="F1" s="3" t="s">
        <v>5</v>
      </c>
      <c r="G1" s="3" t="s">
        <v>6</v>
      </c>
      <c r="H1" s="23" t="s">
        <v>7</v>
      </c>
      <c r="I1" s="3" t="s">
        <v>8</v>
      </c>
      <c r="J1" s="5" t="s">
        <v>9</v>
      </c>
      <c r="K1" s="3" t="s">
        <v>10</v>
      </c>
      <c r="L1" s="3" t="s">
        <v>11</v>
      </c>
      <c r="M1" s="24" t="s">
        <v>12</v>
      </c>
      <c r="N1" s="138" t="s">
        <v>13</v>
      </c>
      <c r="O1" s="3" t="s">
        <v>14</v>
      </c>
      <c r="P1" s="3" t="s">
        <v>15</v>
      </c>
    </row>
    <row r="2" spans="1:16" ht="39.950000000000003" hidden="1" customHeight="1">
      <c r="A2" s="21" t="s">
        <v>16</v>
      </c>
      <c r="B2" s="123" t="s">
        <v>17</v>
      </c>
      <c r="C2" s="21" t="s">
        <v>18</v>
      </c>
      <c r="D2" s="21" t="s">
        <v>19</v>
      </c>
      <c r="E2" s="21">
        <v>2023</v>
      </c>
      <c r="F2" s="21"/>
      <c r="G2" s="21"/>
      <c r="H2" s="21"/>
      <c r="I2" s="21" t="s">
        <v>20</v>
      </c>
      <c r="J2" s="387">
        <v>44931</v>
      </c>
      <c r="K2" s="21" t="s">
        <v>21</v>
      </c>
      <c r="L2" s="16" t="s">
        <v>22</v>
      </c>
      <c r="N2" s="122">
        <v>36602930</v>
      </c>
      <c r="O2" s="21" t="s">
        <v>23</v>
      </c>
    </row>
    <row r="3" spans="1:16" ht="39.950000000000003" hidden="1" customHeight="1">
      <c r="A3" s="21" t="s">
        <v>16</v>
      </c>
      <c r="B3" s="123" t="s">
        <v>17</v>
      </c>
      <c r="C3" s="21" t="s">
        <v>24</v>
      </c>
      <c r="D3" s="21" t="s">
        <v>25</v>
      </c>
      <c r="E3" s="21">
        <v>2023</v>
      </c>
      <c r="F3" s="21"/>
      <c r="G3" s="388"/>
      <c r="H3" s="388"/>
      <c r="I3" s="21" t="s">
        <v>20</v>
      </c>
      <c r="J3" s="387">
        <v>44939</v>
      </c>
      <c r="K3" s="21" t="s">
        <v>21</v>
      </c>
      <c r="L3" s="16" t="s">
        <v>26</v>
      </c>
      <c r="N3" s="122">
        <v>36634005</v>
      </c>
      <c r="O3" s="21" t="s">
        <v>27</v>
      </c>
    </row>
    <row r="4" spans="1:16" ht="39.950000000000003" hidden="1" customHeight="1">
      <c r="A4" s="21" t="s">
        <v>16</v>
      </c>
      <c r="B4" s="123" t="s">
        <v>17</v>
      </c>
      <c r="C4" s="21" t="s">
        <v>28</v>
      </c>
      <c r="D4" s="21" t="s">
        <v>29</v>
      </c>
      <c r="E4" s="21">
        <v>2023</v>
      </c>
      <c r="F4" s="21"/>
      <c r="G4" s="21"/>
      <c r="H4" s="21"/>
      <c r="I4" s="21" t="s">
        <v>20</v>
      </c>
      <c r="J4" s="387">
        <v>44939</v>
      </c>
      <c r="K4" s="21" t="s">
        <v>21</v>
      </c>
      <c r="L4" s="16" t="s">
        <v>30</v>
      </c>
      <c r="N4" s="122">
        <v>36634013</v>
      </c>
      <c r="O4" s="21" t="s">
        <v>31</v>
      </c>
    </row>
    <row r="5" spans="1:16" ht="48.75" hidden="1" customHeight="1">
      <c r="A5" s="21" t="s">
        <v>16</v>
      </c>
      <c r="B5" s="123" t="s">
        <v>32</v>
      </c>
      <c r="C5" s="21" t="s">
        <v>33</v>
      </c>
      <c r="D5" s="21" t="s">
        <v>34</v>
      </c>
      <c r="E5" s="21">
        <v>2023</v>
      </c>
      <c r="F5" s="21"/>
      <c r="G5" s="388"/>
      <c r="H5" s="388"/>
      <c r="I5" s="21" t="s">
        <v>35</v>
      </c>
      <c r="J5" s="387">
        <v>44986</v>
      </c>
      <c r="K5" s="21" t="s">
        <v>21</v>
      </c>
      <c r="L5" s="16" t="s">
        <v>36</v>
      </c>
      <c r="N5" s="122">
        <v>36690543</v>
      </c>
      <c r="O5" s="21" t="s">
        <v>37</v>
      </c>
    </row>
    <row r="6" spans="1:16" ht="48.75" hidden="1" customHeight="1">
      <c r="A6" s="21" t="s">
        <v>16</v>
      </c>
      <c r="B6" s="123" t="s">
        <v>17</v>
      </c>
      <c r="C6" s="21" t="s">
        <v>38</v>
      </c>
      <c r="D6" s="21" t="s">
        <v>39</v>
      </c>
      <c r="E6" s="21">
        <v>2023</v>
      </c>
      <c r="F6" s="21"/>
      <c r="G6" s="388"/>
      <c r="H6" s="388"/>
      <c r="I6" s="21" t="s">
        <v>20</v>
      </c>
      <c r="J6" s="387">
        <v>44973</v>
      </c>
      <c r="K6" s="21" t="s">
        <v>21</v>
      </c>
      <c r="L6" s="16" t="s">
        <v>40</v>
      </c>
      <c r="N6" s="122">
        <v>36795677</v>
      </c>
      <c r="O6" s="21" t="s">
        <v>41</v>
      </c>
    </row>
    <row r="7" spans="1:16" ht="39.950000000000003" hidden="1" customHeight="1">
      <c r="A7" s="21" t="s">
        <v>16</v>
      </c>
      <c r="B7" s="123" t="s">
        <v>42</v>
      </c>
      <c r="C7" s="21" t="s">
        <v>43</v>
      </c>
      <c r="D7" s="21" t="s">
        <v>44</v>
      </c>
      <c r="E7" s="21">
        <v>2023</v>
      </c>
      <c r="F7" s="21"/>
      <c r="G7" s="388"/>
      <c r="H7" s="388"/>
      <c r="I7" s="21" t="s">
        <v>45</v>
      </c>
      <c r="J7" s="387">
        <v>44951</v>
      </c>
      <c r="K7" s="21" t="s">
        <v>21</v>
      </c>
      <c r="L7" s="16" t="s">
        <v>46</v>
      </c>
      <c r="N7" s="122">
        <v>36775756</v>
      </c>
      <c r="O7" s="21" t="s">
        <v>47</v>
      </c>
    </row>
    <row r="8" spans="1:16" ht="39.950000000000003" hidden="1" customHeight="1">
      <c r="A8" s="21" t="s">
        <v>16</v>
      </c>
      <c r="B8" s="123" t="s">
        <v>42</v>
      </c>
      <c r="C8" s="21" t="s">
        <v>48</v>
      </c>
      <c r="D8" s="21" t="s">
        <v>49</v>
      </c>
      <c r="E8" s="21">
        <v>2023</v>
      </c>
      <c r="F8" s="21"/>
      <c r="G8" s="388"/>
      <c r="H8" s="388"/>
      <c r="I8" s="21" t="s">
        <v>45</v>
      </c>
      <c r="J8" s="387">
        <v>44991</v>
      </c>
      <c r="K8" s="21" t="s">
        <v>21</v>
      </c>
      <c r="L8" s="16" t="s">
        <v>50</v>
      </c>
      <c r="N8" s="122">
        <v>36878415</v>
      </c>
      <c r="O8" s="21" t="s">
        <v>51</v>
      </c>
    </row>
    <row r="9" spans="1:16" ht="39.950000000000003" hidden="1" customHeight="1">
      <c r="A9" s="21" t="s">
        <v>16</v>
      </c>
      <c r="B9" s="123" t="s">
        <v>52</v>
      </c>
      <c r="C9" s="21" t="s">
        <v>53</v>
      </c>
      <c r="D9" s="21" t="s">
        <v>54</v>
      </c>
      <c r="E9" s="21">
        <v>2023</v>
      </c>
      <c r="F9" s="21"/>
      <c r="G9" s="388"/>
      <c r="H9" s="388"/>
      <c r="I9" s="21" t="s">
        <v>45</v>
      </c>
      <c r="J9" s="387">
        <v>44970</v>
      </c>
      <c r="K9" s="21" t="s">
        <v>21</v>
      </c>
      <c r="L9" s="16" t="s">
        <v>55</v>
      </c>
      <c r="N9" s="122">
        <v>36816768</v>
      </c>
      <c r="O9" s="21" t="s">
        <v>56</v>
      </c>
    </row>
    <row r="10" spans="1:16" ht="39.950000000000003" hidden="1" customHeight="1">
      <c r="A10" s="21" t="s">
        <v>16</v>
      </c>
      <c r="B10" s="123" t="s">
        <v>57</v>
      </c>
      <c r="C10" s="21" t="s">
        <v>58</v>
      </c>
      <c r="D10" s="21" t="s">
        <v>59</v>
      </c>
      <c r="E10" s="21">
        <v>2023</v>
      </c>
      <c r="F10" s="21"/>
      <c r="G10" s="388"/>
      <c r="H10" s="388"/>
      <c r="I10" s="21" t="s">
        <v>45</v>
      </c>
      <c r="J10" s="387">
        <v>44993</v>
      </c>
      <c r="K10" s="21" t="s">
        <v>21</v>
      </c>
      <c r="L10" s="16" t="s">
        <v>60</v>
      </c>
      <c r="N10" s="122">
        <v>36884385</v>
      </c>
      <c r="O10" s="123" t="s">
        <v>61</v>
      </c>
    </row>
    <row r="11" spans="1:16" ht="39.950000000000003" hidden="1" customHeight="1">
      <c r="A11" s="21" t="s">
        <v>16</v>
      </c>
      <c r="B11" s="123" t="s">
        <v>52</v>
      </c>
      <c r="C11" s="21" t="s">
        <v>62</v>
      </c>
      <c r="D11" s="21" t="s">
        <v>63</v>
      </c>
      <c r="E11" s="21">
        <v>2023</v>
      </c>
      <c r="F11" s="21"/>
      <c r="G11" s="388"/>
      <c r="H11" s="388"/>
      <c r="I11" s="21" t="s">
        <v>45</v>
      </c>
      <c r="J11" s="389">
        <v>44971</v>
      </c>
      <c r="K11" s="21" t="s">
        <v>21</v>
      </c>
      <c r="L11" s="16" t="s">
        <v>55</v>
      </c>
      <c r="N11" s="122">
        <v>36816768</v>
      </c>
      <c r="O11" s="21" t="s">
        <v>56</v>
      </c>
    </row>
    <row r="12" spans="1:16" ht="39.950000000000003" hidden="1" customHeight="1">
      <c r="A12" s="21" t="s">
        <v>16</v>
      </c>
      <c r="B12" s="123" t="s">
        <v>64</v>
      </c>
      <c r="C12" s="21" t="s">
        <v>65</v>
      </c>
      <c r="D12" s="21" t="s">
        <v>66</v>
      </c>
      <c r="E12" s="21">
        <v>2023</v>
      </c>
      <c r="F12" s="21"/>
      <c r="G12" s="388"/>
      <c r="H12" s="388"/>
      <c r="I12" s="21" t="s">
        <v>45</v>
      </c>
      <c r="J12" s="387">
        <v>45022</v>
      </c>
      <c r="K12" s="21" t="s">
        <v>21</v>
      </c>
      <c r="L12" s="16" t="s">
        <v>67</v>
      </c>
      <c r="N12" s="122">
        <v>36907734</v>
      </c>
      <c r="O12" s="21" t="s">
        <v>68</v>
      </c>
    </row>
    <row r="13" spans="1:16" ht="39.950000000000003" hidden="1" customHeight="1">
      <c r="A13" s="21" t="s">
        <v>16</v>
      </c>
      <c r="B13" s="123" t="s">
        <v>69</v>
      </c>
      <c r="C13" s="21" t="s">
        <v>70</v>
      </c>
      <c r="D13" s="21" t="s">
        <v>71</v>
      </c>
      <c r="E13" s="21">
        <v>2023</v>
      </c>
      <c r="F13" s="21"/>
      <c r="G13" s="388"/>
      <c r="H13" s="388"/>
      <c r="I13" s="21" t="s">
        <v>72</v>
      </c>
      <c r="J13" s="387" t="s">
        <v>73</v>
      </c>
      <c r="K13" s="21" t="s">
        <v>21</v>
      </c>
      <c r="L13" s="16" t="s">
        <v>74</v>
      </c>
      <c r="N13" s="122" t="s">
        <v>75</v>
      </c>
      <c r="O13" s="122" t="s">
        <v>75</v>
      </c>
    </row>
    <row r="14" spans="1:16" ht="39.950000000000003" hidden="1" customHeight="1">
      <c r="A14" s="21" t="s">
        <v>16</v>
      </c>
      <c r="B14" s="123" t="s">
        <v>17</v>
      </c>
      <c r="C14" s="21" t="s">
        <v>76</v>
      </c>
      <c r="D14" s="21" t="s">
        <v>77</v>
      </c>
      <c r="E14" s="21">
        <v>2023</v>
      </c>
      <c r="F14" s="21"/>
      <c r="G14" s="388"/>
      <c r="H14" s="388"/>
      <c r="I14" s="21" t="s">
        <v>20</v>
      </c>
      <c r="J14" s="387">
        <v>45036</v>
      </c>
      <c r="K14" s="21" t="s">
        <v>21</v>
      </c>
      <c r="L14" s="16" t="s">
        <v>78</v>
      </c>
      <c r="N14" s="122">
        <v>37079512</v>
      </c>
      <c r="O14" s="21" t="s">
        <v>79</v>
      </c>
    </row>
    <row r="15" spans="1:16" ht="39.950000000000003" hidden="1" customHeight="1">
      <c r="A15" s="21" t="s">
        <v>16</v>
      </c>
      <c r="B15" s="123" t="s">
        <v>80</v>
      </c>
      <c r="C15" s="21" t="s">
        <v>81</v>
      </c>
      <c r="D15" s="21" t="s">
        <v>82</v>
      </c>
      <c r="E15" s="21">
        <v>2023</v>
      </c>
      <c r="F15" s="21"/>
      <c r="G15" s="137"/>
      <c r="H15" s="388"/>
      <c r="I15" s="21" t="s">
        <v>35</v>
      </c>
      <c r="J15" s="387">
        <v>45106</v>
      </c>
      <c r="K15" s="21" t="s">
        <v>21</v>
      </c>
      <c r="L15" s="16" t="s">
        <v>83</v>
      </c>
      <c r="N15" s="122">
        <v>37386826</v>
      </c>
      <c r="O15" s="21" t="s">
        <v>84</v>
      </c>
      <c r="P15" s="390" t="s">
        <v>85</v>
      </c>
    </row>
    <row r="16" spans="1:16" ht="39.950000000000003" hidden="1" customHeight="1">
      <c r="A16" s="21" t="s">
        <v>16</v>
      </c>
      <c r="B16" s="123" t="s">
        <v>17</v>
      </c>
      <c r="C16" s="21" t="s">
        <v>86</v>
      </c>
      <c r="D16" s="21" t="s">
        <v>87</v>
      </c>
      <c r="E16" s="21">
        <v>2023</v>
      </c>
      <c r="F16" s="21"/>
      <c r="G16" s="388" t="s">
        <v>88</v>
      </c>
      <c r="H16" s="388" t="s">
        <v>89</v>
      </c>
      <c r="I16" s="21" t="s">
        <v>20</v>
      </c>
      <c r="J16" s="387">
        <v>45051</v>
      </c>
      <c r="K16" s="21" t="s">
        <v>21</v>
      </c>
      <c r="L16" s="16" t="s">
        <v>90</v>
      </c>
      <c r="N16" s="122">
        <v>37167154</v>
      </c>
      <c r="O16" s="21" t="s">
        <v>91</v>
      </c>
    </row>
    <row r="17" spans="1:16" ht="39.950000000000003" hidden="1" customHeight="1">
      <c r="A17" s="21" t="s">
        <v>16</v>
      </c>
      <c r="B17" s="123" t="s">
        <v>92</v>
      </c>
      <c r="C17" s="21" t="s">
        <v>93</v>
      </c>
      <c r="D17" s="21" t="s">
        <v>94</v>
      </c>
      <c r="E17" s="21">
        <v>2023</v>
      </c>
      <c r="F17" s="21"/>
      <c r="G17" s="388"/>
      <c r="H17" s="388"/>
      <c r="I17" s="21" t="s">
        <v>72</v>
      </c>
      <c r="J17" s="387">
        <v>45085</v>
      </c>
      <c r="K17" s="21" t="s">
        <v>21</v>
      </c>
      <c r="L17" s="16" t="s">
        <v>95</v>
      </c>
      <c r="N17" s="122">
        <v>37362397</v>
      </c>
      <c r="O17" s="21" t="s">
        <v>96</v>
      </c>
    </row>
    <row r="18" spans="1:16" ht="39.950000000000003" hidden="1" customHeight="1">
      <c r="A18" s="21" t="s">
        <v>16</v>
      </c>
      <c r="B18" s="123" t="s">
        <v>69</v>
      </c>
      <c r="C18" s="21" t="s">
        <v>97</v>
      </c>
      <c r="D18" s="21" t="s">
        <v>98</v>
      </c>
      <c r="E18" s="21">
        <v>2023</v>
      </c>
      <c r="F18" s="21"/>
      <c r="G18" s="388"/>
      <c r="H18" s="388"/>
      <c r="I18" s="21" t="s">
        <v>72</v>
      </c>
      <c r="J18" s="387">
        <v>45078</v>
      </c>
      <c r="K18" s="21" t="s">
        <v>21</v>
      </c>
      <c r="L18" s="33" t="s">
        <v>99</v>
      </c>
      <c r="N18" s="122" t="s">
        <v>75</v>
      </c>
      <c r="O18" s="122" t="s">
        <v>75</v>
      </c>
    </row>
    <row r="19" spans="1:16" ht="39.950000000000003" hidden="1" customHeight="1">
      <c r="A19" s="21" t="s">
        <v>16</v>
      </c>
      <c r="B19" s="123" t="s">
        <v>69</v>
      </c>
      <c r="C19" s="21" t="s">
        <v>100</v>
      </c>
      <c r="D19" s="21" t="s">
        <v>101</v>
      </c>
      <c r="E19" s="21">
        <v>2023</v>
      </c>
      <c r="F19" s="21"/>
      <c r="G19" s="388"/>
      <c r="H19" s="388"/>
      <c r="I19" s="21" t="s">
        <v>72</v>
      </c>
      <c r="J19" s="387">
        <v>45131</v>
      </c>
      <c r="K19" s="21" t="s">
        <v>21</v>
      </c>
      <c r="L19" s="16" t="s">
        <v>102</v>
      </c>
      <c r="N19" s="122" t="s">
        <v>75</v>
      </c>
      <c r="O19" s="122" t="s">
        <v>75</v>
      </c>
    </row>
    <row r="20" spans="1:16" ht="39.950000000000003" hidden="1" customHeight="1">
      <c r="A20" s="21" t="s">
        <v>16</v>
      </c>
      <c r="B20" s="123" t="s">
        <v>103</v>
      </c>
      <c r="C20" s="21" t="s">
        <v>104</v>
      </c>
      <c r="D20" s="21" t="s">
        <v>105</v>
      </c>
      <c r="E20" s="21">
        <v>2023</v>
      </c>
      <c r="F20" s="21"/>
      <c r="G20" s="388"/>
      <c r="H20" s="388"/>
      <c r="I20" s="21" t="s">
        <v>35</v>
      </c>
      <c r="J20" s="387">
        <v>45141</v>
      </c>
      <c r="K20" s="21" t="s">
        <v>21</v>
      </c>
      <c r="L20" s="16" t="s">
        <v>106</v>
      </c>
      <c r="N20" s="122">
        <v>37590982</v>
      </c>
      <c r="O20" s="21" t="s">
        <v>107</v>
      </c>
      <c r="P20" s="391" t="s">
        <v>108</v>
      </c>
    </row>
    <row r="21" spans="1:16" ht="39.950000000000003" hidden="1" customHeight="1">
      <c r="A21" s="21" t="s">
        <v>16</v>
      </c>
      <c r="B21" s="123" t="s">
        <v>109</v>
      </c>
      <c r="C21" s="21" t="s">
        <v>110</v>
      </c>
      <c r="D21" s="21" t="s">
        <v>111</v>
      </c>
      <c r="E21" s="21">
        <v>2023</v>
      </c>
      <c r="F21" s="21"/>
      <c r="G21" s="388"/>
      <c r="H21" s="388"/>
      <c r="I21" s="21" t="s">
        <v>35</v>
      </c>
      <c r="J21" s="387">
        <v>45125</v>
      </c>
      <c r="K21" s="21" t="s">
        <v>21</v>
      </c>
      <c r="L21" s="16" t="s">
        <v>112</v>
      </c>
      <c r="N21" s="122">
        <v>37558552</v>
      </c>
      <c r="O21" s="21" t="s">
        <v>113</v>
      </c>
      <c r="P21" s="391" t="s">
        <v>114</v>
      </c>
    </row>
    <row r="22" spans="1:16" ht="39.950000000000003" hidden="1" customHeight="1">
      <c r="A22" s="21" t="s">
        <v>16</v>
      </c>
      <c r="B22" s="123" t="s">
        <v>115</v>
      </c>
      <c r="C22" s="21" t="s">
        <v>116</v>
      </c>
      <c r="D22" s="21" t="s">
        <v>117</v>
      </c>
      <c r="E22" s="21">
        <v>2023</v>
      </c>
      <c r="F22" s="21"/>
      <c r="G22" s="388"/>
      <c r="H22" s="388"/>
      <c r="I22" s="21" t="s">
        <v>35</v>
      </c>
      <c r="J22" s="387">
        <v>45139</v>
      </c>
      <c r="K22" s="21" t="s">
        <v>21</v>
      </c>
      <c r="L22" s="16" t="s">
        <v>118</v>
      </c>
      <c r="N22" s="122">
        <v>37571833</v>
      </c>
      <c r="O22" s="21" t="s">
        <v>119</v>
      </c>
      <c r="P22" s="391" t="s">
        <v>120</v>
      </c>
    </row>
    <row r="23" spans="1:16" s="6" customFormat="1" ht="39.950000000000003" hidden="1" customHeight="1">
      <c r="A23" s="21" t="s">
        <v>16</v>
      </c>
      <c r="B23" s="123" t="s">
        <v>17</v>
      </c>
      <c r="C23" s="21" t="s">
        <v>121</v>
      </c>
      <c r="D23" s="21" t="s">
        <v>122</v>
      </c>
      <c r="E23" s="21">
        <v>2023</v>
      </c>
      <c r="F23" s="21"/>
      <c r="G23" s="21"/>
      <c r="H23" s="21"/>
      <c r="I23" s="21" t="s">
        <v>20</v>
      </c>
      <c r="J23" s="387">
        <v>45162</v>
      </c>
      <c r="K23" s="21" t="s">
        <v>21</v>
      </c>
      <c r="L23" s="16" t="s">
        <v>123</v>
      </c>
      <c r="M23" s="26"/>
      <c r="N23" s="122">
        <v>37616185</v>
      </c>
      <c r="O23" s="21" t="s">
        <v>124</v>
      </c>
      <c r="P23" s="26" t="s">
        <v>125</v>
      </c>
    </row>
    <row r="24" spans="1:16" ht="39.950000000000003" hidden="1" customHeight="1">
      <c r="A24" s="21" t="s">
        <v>16</v>
      </c>
      <c r="B24" s="123" t="s">
        <v>126</v>
      </c>
      <c r="C24" s="21" t="s">
        <v>127</v>
      </c>
      <c r="D24" s="21" t="s">
        <v>128</v>
      </c>
      <c r="E24" s="21">
        <v>2023</v>
      </c>
      <c r="F24" s="21"/>
      <c r="G24" s="388"/>
      <c r="H24" s="388"/>
      <c r="I24" s="21" t="s">
        <v>35</v>
      </c>
      <c r="J24" s="387">
        <v>45156</v>
      </c>
      <c r="K24" s="21" t="s">
        <v>21</v>
      </c>
      <c r="L24" s="16" t="s">
        <v>129</v>
      </c>
      <c r="M24" s="33"/>
      <c r="N24" s="48">
        <v>32933839</v>
      </c>
      <c r="O24" s="124" t="s">
        <v>130</v>
      </c>
    </row>
    <row r="25" spans="1:16" ht="39.950000000000003" hidden="1" customHeight="1">
      <c r="A25" s="21" t="s">
        <v>16</v>
      </c>
      <c r="B25" s="123" t="s">
        <v>69</v>
      </c>
      <c r="C25" s="21" t="s">
        <v>131</v>
      </c>
      <c r="D25" s="21" t="s">
        <v>132</v>
      </c>
      <c r="E25" s="21">
        <v>2023</v>
      </c>
      <c r="F25" s="21"/>
      <c r="G25" s="388"/>
      <c r="H25" s="388"/>
      <c r="I25" s="21" t="s">
        <v>72</v>
      </c>
      <c r="J25" s="387">
        <v>45168</v>
      </c>
      <c r="K25" s="21" t="s">
        <v>21</v>
      </c>
      <c r="L25" s="16" t="s">
        <v>133</v>
      </c>
      <c r="N25" s="122" t="s">
        <v>75</v>
      </c>
      <c r="O25" s="122" t="s">
        <v>75</v>
      </c>
    </row>
    <row r="26" spans="1:16" ht="39.950000000000003" hidden="1" customHeight="1">
      <c r="A26" s="21" t="s">
        <v>16</v>
      </c>
      <c r="B26" s="123" t="s">
        <v>69</v>
      </c>
      <c r="C26" s="21" t="s">
        <v>134</v>
      </c>
      <c r="D26" s="21" t="s">
        <v>135</v>
      </c>
      <c r="E26" s="21">
        <v>2023</v>
      </c>
      <c r="F26" s="21"/>
      <c r="G26" s="388"/>
      <c r="H26" s="388"/>
      <c r="I26" s="21" t="s">
        <v>72</v>
      </c>
      <c r="J26" s="387">
        <v>45197</v>
      </c>
      <c r="K26" s="21" t="s">
        <v>21</v>
      </c>
      <c r="L26" s="47" t="s">
        <v>136</v>
      </c>
      <c r="M26" s="47"/>
      <c r="N26" s="122" t="s">
        <v>75</v>
      </c>
      <c r="O26" s="122" t="s">
        <v>75</v>
      </c>
    </row>
    <row r="27" spans="1:16" ht="39.950000000000003" hidden="1" customHeight="1">
      <c r="A27" s="21" t="s">
        <v>16</v>
      </c>
      <c r="B27" s="123" t="s">
        <v>69</v>
      </c>
      <c r="C27" s="21" t="s">
        <v>137</v>
      </c>
      <c r="D27" s="21" t="s">
        <v>138</v>
      </c>
      <c r="E27" s="21">
        <v>2023</v>
      </c>
      <c r="F27" s="21"/>
      <c r="G27" s="388"/>
      <c r="H27" s="388"/>
      <c r="I27" s="21" t="s">
        <v>72</v>
      </c>
      <c r="J27" s="387">
        <v>45197</v>
      </c>
      <c r="K27" s="21" t="s">
        <v>21</v>
      </c>
      <c r="L27" s="16" t="s">
        <v>139</v>
      </c>
      <c r="N27" s="122" t="s">
        <v>75</v>
      </c>
      <c r="O27" s="122" t="s">
        <v>75</v>
      </c>
    </row>
    <row r="28" spans="1:16" ht="39.950000000000003" hidden="1" customHeight="1">
      <c r="A28" s="21" t="s">
        <v>16</v>
      </c>
      <c r="B28" s="123" t="s">
        <v>17</v>
      </c>
      <c r="C28" s="21" t="s">
        <v>140</v>
      </c>
      <c r="D28" s="21" t="s">
        <v>141</v>
      </c>
      <c r="E28" s="21">
        <v>2023</v>
      </c>
      <c r="F28" s="21"/>
      <c r="G28" s="388"/>
      <c r="H28" s="388"/>
      <c r="I28" s="21" t="s">
        <v>20</v>
      </c>
      <c r="J28" s="387">
        <v>45197</v>
      </c>
      <c r="K28" s="21" t="s">
        <v>21</v>
      </c>
      <c r="L28" s="16" t="s">
        <v>142</v>
      </c>
      <c r="N28" s="122">
        <v>37768879</v>
      </c>
      <c r="O28" s="21" t="s">
        <v>143</v>
      </c>
    </row>
    <row r="29" spans="1:16" ht="39.950000000000003" hidden="1" customHeight="1">
      <c r="A29" s="21" t="s">
        <v>16</v>
      </c>
      <c r="B29" s="123" t="s">
        <v>69</v>
      </c>
      <c r="C29" s="21" t="s">
        <v>144</v>
      </c>
      <c r="D29" s="21" t="s">
        <v>145</v>
      </c>
      <c r="E29" s="21">
        <v>2023</v>
      </c>
      <c r="F29" s="21"/>
      <c r="G29" s="388"/>
      <c r="H29" s="388"/>
      <c r="I29" s="21" t="s">
        <v>72</v>
      </c>
      <c r="J29" s="387">
        <v>45197</v>
      </c>
      <c r="K29" s="21" t="s">
        <v>21</v>
      </c>
      <c r="L29" s="16" t="s">
        <v>146</v>
      </c>
      <c r="N29" s="122" t="s">
        <v>75</v>
      </c>
      <c r="O29" s="21" t="s">
        <v>75</v>
      </c>
    </row>
    <row r="30" spans="1:16" ht="39.950000000000003" hidden="1" customHeight="1">
      <c r="A30" s="21" t="s">
        <v>16</v>
      </c>
      <c r="B30" s="123" t="s">
        <v>17</v>
      </c>
      <c r="C30" s="21" t="s">
        <v>147</v>
      </c>
      <c r="D30" s="21" t="s">
        <v>148</v>
      </c>
      <c r="E30" s="21">
        <v>2023</v>
      </c>
      <c r="F30" s="21"/>
      <c r="G30" s="388"/>
      <c r="H30" s="388"/>
      <c r="I30" s="21" t="s">
        <v>20</v>
      </c>
      <c r="J30" s="387">
        <v>45197</v>
      </c>
      <c r="K30" s="21" t="s">
        <v>21</v>
      </c>
      <c r="L30" s="16" t="s">
        <v>55</v>
      </c>
      <c r="N30" s="122">
        <v>36816768</v>
      </c>
      <c r="O30" s="21" t="s">
        <v>56</v>
      </c>
    </row>
    <row r="31" spans="1:16" ht="39.950000000000003" hidden="1" customHeight="1">
      <c r="A31" s="21" t="s">
        <v>16</v>
      </c>
      <c r="B31" s="123" t="s">
        <v>64</v>
      </c>
      <c r="C31" s="21" t="s">
        <v>149</v>
      </c>
      <c r="D31" s="21" t="s">
        <v>150</v>
      </c>
      <c r="E31" s="21">
        <v>2023</v>
      </c>
      <c r="F31" s="21" t="s">
        <v>151</v>
      </c>
      <c r="G31" s="388"/>
      <c r="H31" s="388"/>
      <c r="I31" s="21" t="s">
        <v>72</v>
      </c>
      <c r="J31" s="387">
        <v>45219</v>
      </c>
      <c r="K31" s="21" t="s">
        <v>21</v>
      </c>
      <c r="L31" s="16" t="s">
        <v>152</v>
      </c>
      <c r="N31" s="122">
        <v>37866991</v>
      </c>
      <c r="O31" s="21" t="s">
        <v>153</v>
      </c>
    </row>
    <row r="32" spans="1:16" ht="39.950000000000003" hidden="1" customHeight="1">
      <c r="A32" s="21" t="s">
        <v>16</v>
      </c>
      <c r="B32" s="123" t="s">
        <v>154</v>
      </c>
      <c r="C32" s="21" t="s">
        <v>155</v>
      </c>
      <c r="D32" s="21" t="s">
        <v>156</v>
      </c>
      <c r="E32" s="21">
        <v>2023</v>
      </c>
      <c r="F32" s="21" t="s">
        <v>157</v>
      </c>
      <c r="G32" s="388" t="s">
        <v>158</v>
      </c>
      <c r="H32" s="388"/>
      <c r="I32" s="21" t="s">
        <v>35</v>
      </c>
      <c r="J32" s="387" t="s">
        <v>73</v>
      </c>
      <c r="K32" s="21" t="s">
        <v>21</v>
      </c>
      <c r="L32" s="16" t="s">
        <v>159</v>
      </c>
      <c r="N32" s="122">
        <v>37926397</v>
      </c>
      <c r="O32" s="21" t="s">
        <v>160</v>
      </c>
    </row>
    <row r="33" spans="1:16" ht="39.950000000000003" hidden="1" customHeight="1">
      <c r="A33" s="21" t="s">
        <v>16</v>
      </c>
      <c r="B33" s="123" t="s">
        <v>17</v>
      </c>
      <c r="C33" s="21" t="s">
        <v>161</v>
      </c>
      <c r="D33" s="21" t="s">
        <v>162</v>
      </c>
      <c r="E33" s="21">
        <v>2023</v>
      </c>
      <c r="F33" s="21" t="s">
        <v>163</v>
      </c>
      <c r="G33" s="388"/>
      <c r="H33" s="388"/>
      <c r="I33" s="21" t="s">
        <v>20</v>
      </c>
      <c r="J33" s="387">
        <v>45233</v>
      </c>
      <c r="K33" s="21" t="s">
        <v>21</v>
      </c>
      <c r="L33" s="28" t="s">
        <v>164</v>
      </c>
      <c r="N33" s="125">
        <v>37917561</v>
      </c>
      <c r="O33" s="126" t="s">
        <v>165</v>
      </c>
    </row>
    <row r="34" spans="1:16" ht="39.950000000000003" hidden="1" customHeight="1">
      <c r="A34" s="21" t="s">
        <v>16</v>
      </c>
      <c r="B34" s="123" t="s">
        <v>17</v>
      </c>
      <c r="C34" s="21" t="s">
        <v>166</v>
      </c>
      <c r="D34" s="131" t="s">
        <v>167</v>
      </c>
      <c r="E34" s="21">
        <v>2023</v>
      </c>
      <c r="F34" s="21" t="s">
        <v>21</v>
      </c>
      <c r="G34" s="388"/>
      <c r="H34" s="388"/>
      <c r="I34" s="21" t="s">
        <v>20</v>
      </c>
      <c r="J34" s="387">
        <v>45240</v>
      </c>
      <c r="K34" s="392" t="s">
        <v>21</v>
      </c>
      <c r="L34" s="132" t="s">
        <v>168</v>
      </c>
      <c r="N34" s="393">
        <v>37943705</v>
      </c>
      <c r="O34" s="21" t="s">
        <v>169</v>
      </c>
      <c r="P34" s="49"/>
    </row>
    <row r="35" spans="1:16" ht="39.950000000000003" hidden="1" customHeight="1">
      <c r="A35" s="21" t="s">
        <v>16</v>
      </c>
      <c r="B35" s="123" t="s">
        <v>17</v>
      </c>
      <c r="C35" s="350" t="s">
        <v>170</v>
      </c>
      <c r="D35" s="350" t="s">
        <v>171</v>
      </c>
      <c r="E35" s="21">
        <v>2023</v>
      </c>
      <c r="F35" s="21" t="s">
        <v>21</v>
      </c>
      <c r="G35" s="388"/>
      <c r="H35" s="388"/>
      <c r="I35" s="21" t="s">
        <v>20</v>
      </c>
      <c r="J35" s="387">
        <v>45281</v>
      </c>
      <c r="K35" s="392" t="s">
        <v>21</v>
      </c>
      <c r="L35" s="133" t="s">
        <v>172</v>
      </c>
      <c r="N35" s="394">
        <v>38127675</v>
      </c>
      <c r="O35" s="127" t="s">
        <v>173</v>
      </c>
      <c r="P35" s="49"/>
    </row>
    <row r="36" spans="1:16" ht="39.950000000000003" hidden="1" customHeight="1">
      <c r="A36" s="21" t="s">
        <v>16</v>
      </c>
      <c r="B36" s="123" t="s">
        <v>64</v>
      </c>
      <c r="C36" s="21" t="s">
        <v>174</v>
      </c>
      <c r="D36" s="350" t="s">
        <v>175</v>
      </c>
      <c r="E36" s="21">
        <v>2023</v>
      </c>
      <c r="F36" s="21" t="s">
        <v>176</v>
      </c>
      <c r="G36" s="388"/>
      <c r="H36" s="388"/>
      <c r="I36" s="21" t="s">
        <v>35</v>
      </c>
      <c r="J36" s="387" t="s">
        <v>73</v>
      </c>
      <c r="K36" s="392" t="s">
        <v>21</v>
      </c>
      <c r="L36" s="16" t="s">
        <v>177</v>
      </c>
      <c r="N36" s="128">
        <v>38143200</v>
      </c>
      <c r="O36" s="146" t="s">
        <v>178</v>
      </c>
      <c r="P36" s="49"/>
    </row>
    <row r="37" spans="1:16" ht="39.950000000000003" hidden="1" customHeight="1">
      <c r="A37" s="21" t="s">
        <v>16</v>
      </c>
      <c r="B37" s="123" t="s">
        <v>64</v>
      </c>
      <c r="C37" s="350" t="s">
        <v>179</v>
      </c>
      <c r="D37" s="21" t="s">
        <v>180</v>
      </c>
      <c r="E37" s="21">
        <v>2023</v>
      </c>
      <c r="F37" s="21" t="s">
        <v>21</v>
      </c>
      <c r="G37" s="388"/>
      <c r="H37" s="388"/>
      <c r="I37" s="21" t="s">
        <v>35</v>
      </c>
      <c r="J37" s="387">
        <v>44980</v>
      </c>
      <c r="K37" s="392" t="s">
        <v>21</v>
      </c>
      <c r="L37" s="134" t="s">
        <v>181</v>
      </c>
      <c r="N37" s="129">
        <v>38143201</v>
      </c>
      <c r="O37" s="147" t="s">
        <v>182</v>
      </c>
      <c r="P37" s="143" t="s">
        <v>183</v>
      </c>
    </row>
    <row r="38" spans="1:16" ht="39.950000000000003" hidden="1" customHeight="1">
      <c r="A38" s="21" t="s">
        <v>16</v>
      </c>
      <c r="B38" s="123" t="s">
        <v>184</v>
      </c>
      <c r="C38" s="21" t="s">
        <v>185</v>
      </c>
      <c r="D38" s="350" t="s">
        <v>186</v>
      </c>
      <c r="E38" s="21">
        <v>2024</v>
      </c>
      <c r="F38" s="21" t="s">
        <v>21</v>
      </c>
      <c r="G38" s="388"/>
      <c r="H38" s="388"/>
      <c r="I38" s="21" t="s">
        <v>72</v>
      </c>
      <c r="J38" s="387">
        <v>45336</v>
      </c>
      <c r="K38" s="392" t="s">
        <v>21</v>
      </c>
      <c r="L38" s="148" t="s">
        <v>187</v>
      </c>
      <c r="M38" s="49"/>
      <c r="N38" s="128">
        <v>38358336</v>
      </c>
      <c r="O38" s="123" t="s">
        <v>61</v>
      </c>
      <c r="P38" s="49"/>
    </row>
    <row r="39" spans="1:16" ht="39.950000000000003" hidden="1" customHeight="1">
      <c r="A39" s="21" t="s">
        <v>16</v>
      </c>
      <c r="B39" s="123" t="s">
        <v>188</v>
      </c>
      <c r="C39" s="350" t="s">
        <v>189</v>
      </c>
      <c r="D39" s="21" t="s">
        <v>190</v>
      </c>
      <c r="E39" s="21">
        <v>2024</v>
      </c>
      <c r="F39" s="21" t="s">
        <v>21</v>
      </c>
      <c r="G39" s="388"/>
      <c r="H39" s="388"/>
      <c r="I39" s="21" t="s">
        <v>35</v>
      </c>
      <c r="J39" s="387">
        <v>45366</v>
      </c>
      <c r="K39" s="392" t="s">
        <v>21</v>
      </c>
      <c r="L39" s="27" t="s">
        <v>191</v>
      </c>
      <c r="N39" s="130">
        <v>39286535</v>
      </c>
      <c r="O39" s="127" t="s">
        <v>192</v>
      </c>
      <c r="P39" s="135" t="s">
        <v>193</v>
      </c>
    </row>
    <row r="40" spans="1:16" s="11" customFormat="1" ht="39.950000000000003" hidden="1" customHeight="1">
      <c r="A40" s="21" t="s">
        <v>16</v>
      </c>
      <c r="B40" s="123" t="s">
        <v>80</v>
      </c>
      <c r="C40" s="21" t="s">
        <v>194</v>
      </c>
      <c r="D40" s="21" t="s">
        <v>195</v>
      </c>
      <c r="E40" s="21">
        <v>2024</v>
      </c>
      <c r="F40" s="21" t="s">
        <v>21</v>
      </c>
      <c r="G40" s="21" t="s">
        <v>73</v>
      </c>
      <c r="H40" s="21" t="s">
        <v>73</v>
      </c>
      <c r="I40" s="21" t="s">
        <v>35</v>
      </c>
      <c r="J40" s="387" t="s">
        <v>196</v>
      </c>
      <c r="K40" s="21" t="s">
        <v>21</v>
      </c>
      <c r="L40" s="16" t="s">
        <v>197</v>
      </c>
      <c r="M40" s="16"/>
      <c r="N40" s="21">
        <v>38832672</v>
      </c>
      <c r="O40" s="21" t="s">
        <v>198</v>
      </c>
      <c r="P40" s="16" t="s">
        <v>199</v>
      </c>
    </row>
    <row r="41" spans="1:16" ht="39.950000000000003" hidden="1" customHeight="1">
      <c r="A41" s="21" t="s">
        <v>16</v>
      </c>
      <c r="B41" s="123" t="s">
        <v>64</v>
      </c>
      <c r="C41" s="21" t="s">
        <v>200</v>
      </c>
      <c r="D41" s="350" t="s">
        <v>201</v>
      </c>
      <c r="E41" s="21">
        <v>2024</v>
      </c>
      <c r="F41" s="21" t="s">
        <v>176</v>
      </c>
      <c r="G41" s="21">
        <v>42</v>
      </c>
      <c r="H41" s="388" t="s">
        <v>202</v>
      </c>
      <c r="I41" s="21" t="s">
        <v>35</v>
      </c>
      <c r="J41" s="387">
        <v>45376</v>
      </c>
      <c r="K41" s="21" t="s">
        <v>21</v>
      </c>
      <c r="L41" s="16" t="s">
        <v>203</v>
      </c>
      <c r="N41" s="122">
        <v>38531726</v>
      </c>
      <c r="O41" s="21" t="s">
        <v>204</v>
      </c>
      <c r="P41" s="16" t="s">
        <v>205</v>
      </c>
    </row>
    <row r="42" spans="1:16" ht="39.950000000000003" hidden="1" customHeight="1">
      <c r="A42" s="21" t="s">
        <v>16</v>
      </c>
      <c r="B42" s="123" t="s">
        <v>206</v>
      </c>
      <c r="C42" s="21" t="s">
        <v>207</v>
      </c>
      <c r="D42" s="21" t="s">
        <v>208</v>
      </c>
      <c r="E42" s="21">
        <v>2024</v>
      </c>
      <c r="F42" s="21" t="s">
        <v>21</v>
      </c>
      <c r="G42" s="388" t="s">
        <v>209</v>
      </c>
      <c r="H42" s="388" t="s">
        <v>210</v>
      </c>
      <c r="I42" s="21" t="s">
        <v>35</v>
      </c>
      <c r="J42" s="387">
        <v>45415</v>
      </c>
      <c r="K42" s="21" t="s">
        <v>21</v>
      </c>
      <c r="L42" s="16" t="s">
        <v>211</v>
      </c>
      <c r="N42" s="122">
        <v>38793746</v>
      </c>
      <c r="O42" s="21" t="s">
        <v>212</v>
      </c>
    </row>
    <row r="43" spans="1:16" ht="39.950000000000003" hidden="1" customHeight="1">
      <c r="A43" s="21" t="s">
        <v>16</v>
      </c>
      <c r="B43" s="123" t="s">
        <v>64</v>
      </c>
      <c r="C43" s="350" t="s">
        <v>213</v>
      </c>
      <c r="D43" s="350" t="s">
        <v>214</v>
      </c>
      <c r="E43" s="21">
        <v>2024</v>
      </c>
      <c r="F43" s="21" t="s">
        <v>215</v>
      </c>
      <c r="G43" s="388"/>
      <c r="H43" s="388"/>
      <c r="I43" s="21" t="s">
        <v>72</v>
      </c>
      <c r="J43" s="387">
        <v>45439</v>
      </c>
      <c r="K43" s="21" t="s">
        <v>21</v>
      </c>
      <c r="L43" s="136" t="s">
        <v>216</v>
      </c>
      <c r="N43" s="122">
        <v>38806351</v>
      </c>
      <c r="O43" s="145" t="s">
        <v>217</v>
      </c>
      <c r="P43" s="16" t="s">
        <v>218</v>
      </c>
    </row>
    <row r="44" spans="1:16" s="11" customFormat="1" ht="39.950000000000003" hidden="1" customHeight="1">
      <c r="A44" s="21" t="s">
        <v>16</v>
      </c>
      <c r="B44" s="123" t="s">
        <v>219</v>
      </c>
      <c r="C44" s="21" t="s">
        <v>220</v>
      </c>
      <c r="D44" s="21" t="s">
        <v>221</v>
      </c>
      <c r="E44" s="21">
        <v>2024</v>
      </c>
      <c r="F44" s="21" t="s">
        <v>21</v>
      </c>
      <c r="G44" s="21">
        <v>43</v>
      </c>
      <c r="H44" s="388" t="s">
        <v>222</v>
      </c>
      <c r="I44" s="21" t="s">
        <v>45</v>
      </c>
      <c r="J44" s="387">
        <v>45474</v>
      </c>
      <c r="K44" s="21" t="s">
        <v>21</v>
      </c>
      <c r="L44" s="16" t="s">
        <v>223</v>
      </c>
      <c r="M44" s="16"/>
      <c r="N44" s="395">
        <v>38950301</v>
      </c>
      <c r="O44" s="145" t="s">
        <v>224</v>
      </c>
      <c r="P44" s="16"/>
    </row>
    <row r="45" spans="1:16" ht="39.950000000000003" hidden="1" customHeight="1">
      <c r="A45" s="21" t="s">
        <v>16</v>
      </c>
      <c r="B45" s="123" t="s">
        <v>225</v>
      </c>
      <c r="C45" s="350" t="s">
        <v>226</v>
      </c>
      <c r="D45" s="350" t="s">
        <v>227</v>
      </c>
      <c r="E45" s="21">
        <v>2024</v>
      </c>
      <c r="F45" s="21" t="s">
        <v>21</v>
      </c>
      <c r="G45" s="388"/>
      <c r="H45" s="388"/>
      <c r="I45" s="21" t="s">
        <v>35</v>
      </c>
      <c r="J45" s="387">
        <v>45610</v>
      </c>
      <c r="K45" s="21" t="s">
        <v>21</v>
      </c>
      <c r="L45" s="136" t="s">
        <v>228</v>
      </c>
      <c r="N45" s="350">
        <v>39019662</v>
      </c>
      <c r="O45" s="21" t="s">
        <v>229</v>
      </c>
      <c r="P45" s="136" t="s">
        <v>230</v>
      </c>
    </row>
    <row r="46" spans="1:16" ht="39.950000000000003" hidden="1" customHeight="1">
      <c r="A46" s="21" t="s">
        <v>16</v>
      </c>
      <c r="B46" s="123" t="s">
        <v>231</v>
      </c>
      <c r="C46" s="21" t="s">
        <v>232</v>
      </c>
      <c r="D46" s="21" t="s">
        <v>233</v>
      </c>
      <c r="E46" s="21">
        <v>2024</v>
      </c>
      <c r="F46" s="21" t="s">
        <v>21</v>
      </c>
      <c r="G46" s="388"/>
      <c r="H46" s="388"/>
      <c r="I46" s="21" t="s">
        <v>72</v>
      </c>
      <c r="J46" s="387"/>
      <c r="K46" s="21" t="s">
        <v>21</v>
      </c>
      <c r="L46" s="33" t="s">
        <v>234</v>
      </c>
      <c r="N46" s="122" t="s">
        <v>75</v>
      </c>
      <c r="O46" s="122" t="s">
        <v>75</v>
      </c>
      <c r="P46" s="16" t="s">
        <v>235</v>
      </c>
    </row>
    <row r="47" spans="1:16" ht="39.950000000000003" hidden="1" customHeight="1">
      <c r="A47" s="21" t="s">
        <v>16</v>
      </c>
      <c r="B47" s="123" t="s">
        <v>17</v>
      </c>
      <c r="C47" s="350" t="s">
        <v>236</v>
      </c>
      <c r="D47" s="21" t="s">
        <v>237</v>
      </c>
      <c r="E47" s="21">
        <v>2024</v>
      </c>
      <c r="F47" s="21" t="s">
        <v>21</v>
      </c>
      <c r="G47" s="388"/>
      <c r="H47" s="388"/>
      <c r="I47" s="21" t="s">
        <v>20</v>
      </c>
      <c r="J47" s="387">
        <v>45561</v>
      </c>
      <c r="K47" s="21" t="s">
        <v>21</v>
      </c>
      <c r="L47" s="16" t="s">
        <v>238</v>
      </c>
      <c r="N47" s="122">
        <v>39325675</v>
      </c>
      <c r="O47" s="21" t="s">
        <v>239</v>
      </c>
    </row>
    <row r="48" spans="1:16" ht="39.950000000000003" hidden="1" customHeight="1">
      <c r="A48" s="21" t="s">
        <v>16</v>
      </c>
      <c r="B48" s="123" t="s">
        <v>69</v>
      </c>
      <c r="C48" s="21" t="s">
        <v>240</v>
      </c>
      <c r="D48" s="21" t="s">
        <v>233</v>
      </c>
      <c r="E48" s="21">
        <v>2024</v>
      </c>
      <c r="F48" s="21" t="s">
        <v>21</v>
      </c>
      <c r="G48" s="388"/>
      <c r="H48" s="388"/>
      <c r="I48" s="21" t="s">
        <v>72</v>
      </c>
      <c r="J48" s="387" t="s">
        <v>241</v>
      </c>
      <c r="K48" s="21" t="s">
        <v>21</v>
      </c>
      <c r="L48" s="33" t="s">
        <v>242</v>
      </c>
      <c r="N48" s="122" t="s">
        <v>75</v>
      </c>
      <c r="O48" s="21" t="s">
        <v>75</v>
      </c>
      <c r="P48" s="136" t="s">
        <v>243</v>
      </c>
    </row>
    <row r="49" spans="1:16" ht="39.950000000000003" hidden="1" customHeight="1">
      <c r="A49" s="21" t="s">
        <v>16</v>
      </c>
      <c r="B49" s="123" t="s">
        <v>17</v>
      </c>
      <c r="C49" s="21" t="s">
        <v>244</v>
      </c>
      <c r="D49" s="21" t="s">
        <v>245</v>
      </c>
      <c r="E49" s="21">
        <v>2024</v>
      </c>
      <c r="F49" s="21" t="s">
        <v>21</v>
      </c>
      <c r="G49" s="388" t="s">
        <v>246</v>
      </c>
      <c r="H49" s="388" t="s">
        <v>247</v>
      </c>
      <c r="I49" s="21" t="s">
        <v>20</v>
      </c>
      <c r="J49" s="387">
        <v>45526</v>
      </c>
      <c r="K49" s="21" t="s">
        <v>21</v>
      </c>
      <c r="L49" s="16" t="s">
        <v>248</v>
      </c>
      <c r="N49" s="122">
        <v>39173168</v>
      </c>
      <c r="O49" s="21" t="s">
        <v>249</v>
      </c>
      <c r="P49" s="136" t="s">
        <v>250</v>
      </c>
    </row>
    <row r="50" spans="1:16" ht="39.950000000000003" hidden="1" customHeight="1">
      <c r="A50" s="21" t="s">
        <v>16</v>
      </c>
      <c r="B50" s="123" t="s">
        <v>72</v>
      </c>
      <c r="C50" s="21" t="s">
        <v>251</v>
      </c>
      <c r="D50" s="21" t="s">
        <v>252</v>
      </c>
      <c r="E50" s="21">
        <v>2024</v>
      </c>
      <c r="F50" s="21" t="s">
        <v>176</v>
      </c>
      <c r="G50" s="388"/>
      <c r="H50" s="388"/>
      <c r="I50" s="21" t="s">
        <v>72</v>
      </c>
      <c r="J50" s="387">
        <v>45557</v>
      </c>
      <c r="K50" s="21" t="s">
        <v>21</v>
      </c>
      <c r="L50" s="136" t="s">
        <v>253</v>
      </c>
      <c r="N50" s="122" t="s">
        <v>75</v>
      </c>
      <c r="O50" s="122" t="s">
        <v>75</v>
      </c>
    </row>
    <row r="51" spans="1:16" ht="80.25" hidden="1" customHeight="1">
      <c r="A51" s="21" t="s">
        <v>16</v>
      </c>
      <c r="B51" s="123" t="s">
        <v>17</v>
      </c>
      <c r="C51" s="21" t="s">
        <v>254</v>
      </c>
      <c r="D51" s="21" t="s">
        <v>255</v>
      </c>
      <c r="E51" s="21">
        <v>2024</v>
      </c>
      <c r="F51" s="21" t="s">
        <v>21</v>
      </c>
      <c r="G51" s="388" t="s">
        <v>246</v>
      </c>
      <c r="H51" s="388" t="s">
        <v>256</v>
      </c>
      <c r="I51" s="21" t="s">
        <v>20</v>
      </c>
      <c r="J51" s="387">
        <v>45557</v>
      </c>
      <c r="K51" s="21" t="s">
        <v>21</v>
      </c>
      <c r="L51" s="16" t="s">
        <v>257</v>
      </c>
      <c r="N51" s="122">
        <v>39173180</v>
      </c>
      <c r="O51" s="21" t="s">
        <v>258</v>
      </c>
      <c r="P51" s="136" t="s">
        <v>259</v>
      </c>
    </row>
    <row r="52" spans="1:16" ht="54" hidden="1" customHeight="1">
      <c r="A52" s="21" t="s">
        <v>16</v>
      </c>
      <c r="B52" s="123" t="s">
        <v>17</v>
      </c>
      <c r="C52" s="21" t="s">
        <v>260</v>
      </c>
      <c r="D52" s="21" t="s">
        <v>261</v>
      </c>
      <c r="E52" s="21">
        <v>2024</v>
      </c>
      <c r="F52" s="21" t="s">
        <v>21</v>
      </c>
      <c r="G52" s="388"/>
      <c r="H52" s="388"/>
      <c r="I52" s="21" t="s">
        <v>20</v>
      </c>
      <c r="J52" s="387">
        <v>45561</v>
      </c>
      <c r="K52" s="21" t="s">
        <v>21</v>
      </c>
      <c r="L52" s="16" t="s">
        <v>262</v>
      </c>
      <c r="N52" s="122">
        <v>39325676</v>
      </c>
      <c r="O52" s="21" t="s">
        <v>263</v>
      </c>
      <c r="P52" s="136" t="s">
        <v>264</v>
      </c>
    </row>
    <row r="53" spans="1:16" ht="39.950000000000003" hidden="1" customHeight="1">
      <c r="A53" s="21" t="s">
        <v>16</v>
      </c>
      <c r="B53" s="123" t="s">
        <v>17</v>
      </c>
      <c r="C53" s="21" t="s">
        <v>265</v>
      </c>
      <c r="D53" s="350" t="s">
        <v>266</v>
      </c>
      <c r="E53" s="21">
        <v>2024</v>
      </c>
      <c r="F53" s="21" t="s">
        <v>21</v>
      </c>
      <c r="G53" s="388"/>
      <c r="H53" s="388"/>
      <c r="I53" s="21" t="s">
        <v>20</v>
      </c>
      <c r="J53" s="387">
        <v>45561</v>
      </c>
      <c r="K53" s="21" t="s">
        <v>21</v>
      </c>
      <c r="L53" s="16" t="s">
        <v>267</v>
      </c>
      <c r="N53" s="122">
        <v>39325666</v>
      </c>
      <c r="O53" s="21" t="s">
        <v>268</v>
      </c>
      <c r="P53" s="136" t="s">
        <v>269</v>
      </c>
    </row>
    <row r="54" spans="1:16" ht="39.950000000000003" hidden="1" customHeight="1">
      <c r="A54" s="21" t="s">
        <v>16</v>
      </c>
      <c r="B54" s="123" t="s">
        <v>69</v>
      </c>
      <c r="C54" s="21" t="s">
        <v>270</v>
      </c>
      <c r="D54" s="21" t="s">
        <v>271</v>
      </c>
      <c r="E54" s="21">
        <v>2024</v>
      </c>
      <c r="F54" s="21" t="s">
        <v>21</v>
      </c>
      <c r="G54" s="388"/>
      <c r="H54" s="388"/>
      <c r="I54" s="21" t="s">
        <v>72</v>
      </c>
      <c r="J54" s="387">
        <v>45573</v>
      </c>
      <c r="K54" s="21" t="s">
        <v>272</v>
      </c>
      <c r="L54" s="33" t="s">
        <v>273</v>
      </c>
      <c r="N54" s="122" t="s">
        <v>75</v>
      </c>
      <c r="O54" s="21" t="s">
        <v>75</v>
      </c>
    </row>
    <row r="55" spans="1:16" ht="39.950000000000003" hidden="1" customHeight="1">
      <c r="A55" s="21" t="s">
        <v>16</v>
      </c>
      <c r="B55" s="123" t="s">
        <v>64</v>
      </c>
      <c r="C55" s="350" t="s">
        <v>274</v>
      </c>
      <c r="D55" s="21" t="s">
        <v>275</v>
      </c>
      <c r="E55" s="21">
        <v>2024</v>
      </c>
      <c r="F55" s="21" t="s">
        <v>21</v>
      </c>
      <c r="G55" s="388" t="s">
        <v>276</v>
      </c>
      <c r="H55" s="388" t="s">
        <v>277</v>
      </c>
      <c r="I55" s="21" t="s">
        <v>35</v>
      </c>
      <c r="J55" s="387">
        <v>45569</v>
      </c>
      <c r="K55" s="396" t="s">
        <v>21</v>
      </c>
      <c r="L55" s="16" t="s">
        <v>278</v>
      </c>
      <c r="N55" s="122">
        <v>39368124</v>
      </c>
      <c r="O55" s="21" t="s">
        <v>279</v>
      </c>
      <c r="P55" s="136" t="s">
        <v>280</v>
      </c>
    </row>
    <row r="56" spans="1:16" ht="48.75" hidden="1" customHeight="1">
      <c r="A56" s="21" t="s">
        <v>16</v>
      </c>
      <c r="B56" s="123" t="s">
        <v>72</v>
      </c>
      <c r="C56" s="21" t="s">
        <v>281</v>
      </c>
      <c r="D56" s="21" t="s">
        <v>282</v>
      </c>
      <c r="E56" s="21">
        <v>2024</v>
      </c>
      <c r="F56" s="21" t="s">
        <v>283</v>
      </c>
      <c r="G56" s="388"/>
      <c r="H56" s="388"/>
      <c r="I56" s="21" t="s">
        <v>72</v>
      </c>
      <c r="J56" s="387">
        <v>45560</v>
      </c>
      <c r="K56" s="21" t="s">
        <v>21</v>
      </c>
      <c r="L56" s="136" t="s">
        <v>284</v>
      </c>
      <c r="M56" s="16" t="s">
        <v>75</v>
      </c>
      <c r="N56" s="21" t="s">
        <v>75</v>
      </c>
      <c r="O56" s="21" t="s">
        <v>75</v>
      </c>
    </row>
    <row r="57" spans="1:16" ht="39.950000000000003" hidden="1" customHeight="1">
      <c r="A57" s="21" t="s">
        <v>16</v>
      </c>
      <c r="B57" s="123" t="s">
        <v>69</v>
      </c>
      <c r="C57" s="21" t="s">
        <v>270</v>
      </c>
      <c r="D57" s="21" t="s">
        <v>285</v>
      </c>
      <c r="E57" s="21">
        <v>2024</v>
      </c>
      <c r="F57" s="21" t="s">
        <v>283</v>
      </c>
      <c r="G57" s="388"/>
      <c r="H57" s="388"/>
      <c r="I57" s="21" t="s">
        <v>72</v>
      </c>
      <c r="J57" s="387">
        <v>45560</v>
      </c>
      <c r="K57" s="21" t="s">
        <v>21</v>
      </c>
      <c r="L57" s="136" t="s">
        <v>286</v>
      </c>
      <c r="M57" s="16" t="s">
        <v>75</v>
      </c>
      <c r="N57" s="21" t="s">
        <v>75</v>
      </c>
      <c r="O57" s="21" t="s">
        <v>75</v>
      </c>
    </row>
    <row r="58" spans="1:16" ht="39.950000000000003" hidden="1" customHeight="1">
      <c r="A58" s="21" t="s">
        <v>16</v>
      </c>
      <c r="B58" s="123" t="s">
        <v>69</v>
      </c>
      <c r="C58" s="21" t="s">
        <v>287</v>
      </c>
      <c r="D58" s="21" t="s">
        <v>288</v>
      </c>
      <c r="E58" s="21">
        <v>2024</v>
      </c>
      <c r="F58" s="21" t="s">
        <v>283</v>
      </c>
      <c r="G58" s="388"/>
      <c r="H58" s="388"/>
      <c r="I58" s="21" t="s">
        <v>72</v>
      </c>
      <c r="J58" s="387">
        <v>45567</v>
      </c>
      <c r="K58" s="21" t="s">
        <v>21</v>
      </c>
      <c r="L58" s="136" t="s">
        <v>289</v>
      </c>
      <c r="M58" s="16" t="s">
        <v>75</v>
      </c>
      <c r="N58" s="21" t="s">
        <v>75</v>
      </c>
      <c r="O58" s="21" t="s">
        <v>75</v>
      </c>
    </row>
    <row r="59" spans="1:16" ht="39.950000000000003" hidden="1" customHeight="1">
      <c r="A59" s="21" t="s">
        <v>16</v>
      </c>
      <c r="B59" s="123" t="s">
        <v>69</v>
      </c>
      <c r="C59" s="21" t="s">
        <v>290</v>
      </c>
      <c r="D59" s="21" t="s">
        <v>291</v>
      </c>
      <c r="E59" s="21">
        <v>2024</v>
      </c>
      <c r="F59" s="21" t="s">
        <v>21</v>
      </c>
      <c r="G59" s="388"/>
      <c r="H59" s="388"/>
      <c r="I59" s="21" t="s">
        <v>72</v>
      </c>
      <c r="J59" s="387" t="s">
        <v>292</v>
      </c>
      <c r="K59" s="21" t="s">
        <v>21</v>
      </c>
      <c r="L59" s="16" t="s">
        <v>293</v>
      </c>
      <c r="M59" s="16" t="s">
        <v>75</v>
      </c>
      <c r="N59" s="21" t="s">
        <v>75</v>
      </c>
      <c r="O59" s="21" t="s">
        <v>75</v>
      </c>
    </row>
    <row r="60" spans="1:16" ht="39.950000000000003" hidden="1" customHeight="1">
      <c r="A60" s="21" t="s">
        <v>16</v>
      </c>
      <c r="B60" s="123" t="s">
        <v>69</v>
      </c>
      <c r="C60" s="350" t="s">
        <v>294</v>
      </c>
      <c r="D60" s="21" t="s">
        <v>295</v>
      </c>
      <c r="E60" s="21">
        <v>2024</v>
      </c>
      <c r="F60" s="21" t="s">
        <v>21</v>
      </c>
      <c r="G60" s="388"/>
      <c r="H60" s="388"/>
      <c r="I60" s="21" t="s">
        <v>72</v>
      </c>
      <c r="J60" s="387">
        <v>45602</v>
      </c>
      <c r="K60" s="21" t="s">
        <v>21</v>
      </c>
      <c r="L60" s="33" t="s">
        <v>296</v>
      </c>
      <c r="M60" s="16" t="s">
        <v>75</v>
      </c>
      <c r="N60" s="21" t="s">
        <v>75</v>
      </c>
      <c r="O60" s="21" t="s">
        <v>75</v>
      </c>
    </row>
    <row r="61" spans="1:16" ht="39.950000000000003" hidden="1" customHeight="1">
      <c r="A61" s="21" t="s">
        <v>16</v>
      </c>
      <c r="B61" s="123" t="s">
        <v>17</v>
      </c>
      <c r="C61" s="350" t="s">
        <v>297</v>
      </c>
      <c r="D61" s="350" t="s">
        <v>298</v>
      </c>
      <c r="E61" s="21">
        <v>2024</v>
      </c>
      <c r="F61" s="21" t="s">
        <v>283</v>
      </c>
      <c r="G61" s="388"/>
      <c r="H61" s="388"/>
      <c r="I61" s="21" t="s">
        <v>20</v>
      </c>
      <c r="J61" s="387">
        <v>45618</v>
      </c>
      <c r="K61" s="21" t="s">
        <v>21</v>
      </c>
      <c r="L61" s="16" t="s">
        <v>299</v>
      </c>
      <c r="N61" s="122">
        <v>39570786</v>
      </c>
      <c r="O61" s="122" t="s">
        <v>300</v>
      </c>
    </row>
    <row r="62" spans="1:16" ht="39.950000000000003" hidden="1" customHeight="1">
      <c r="A62" s="21" t="s">
        <v>16</v>
      </c>
      <c r="B62" s="123" t="s">
        <v>64</v>
      </c>
      <c r="C62" s="350" t="s">
        <v>301</v>
      </c>
      <c r="D62" s="350" t="s">
        <v>302</v>
      </c>
      <c r="E62" s="21">
        <v>2024</v>
      </c>
      <c r="F62" s="21" t="s">
        <v>283</v>
      </c>
      <c r="G62" s="388"/>
      <c r="H62" s="388"/>
      <c r="I62" s="21" t="s">
        <v>35</v>
      </c>
      <c r="J62" s="387">
        <v>45658</v>
      </c>
      <c r="K62" s="21" t="s">
        <v>21</v>
      </c>
      <c r="L62" s="16" t="s">
        <v>303</v>
      </c>
      <c r="N62" s="122">
        <v>39579649</v>
      </c>
      <c r="O62" s="21" t="s">
        <v>304</v>
      </c>
      <c r="P62" s="33" t="s">
        <v>305</v>
      </c>
    </row>
    <row r="63" spans="1:16" ht="39.950000000000003" hidden="1" customHeight="1">
      <c r="A63" s="21" t="s">
        <v>16</v>
      </c>
      <c r="B63" s="123" t="s">
        <v>69</v>
      </c>
      <c r="C63" s="21" t="s">
        <v>306</v>
      </c>
      <c r="D63" s="21" t="s">
        <v>307</v>
      </c>
      <c r="E63" s="21">
        <v>2024</v>
      </c>
      <c r="F63" s="21" t="s">
        <v>21</v>
      </c>
      <c r="G63" s="388"/>
      <c r="H63" s="388"/>
      <c r="I63" s="21" t="s">
        <v>72</v>
      </c>
      <c r="J63" s="387">
        <v>45639</v>
      </c>
      <c r="K63" s="21" t="s">
        <v>21</v>
      </c>
      <c r="L63" s="136" t="s">
        <v>308</v>
      </c>
      <c r="N63" s="122" t="s">
        <v>75</v>
      </c>
      <c r="O63" s="21" t="s">
        <v>75</v>
      </c>
      <c r="P63" s="47" t="s">
        <v>309</v>
      </c>
    </row>
    <row r="64" spans="1:16" ht="39.950000000000003" hidden="1" customHeight="1">
      <c r="A64" s="21" t="s">
        <v>16</v>
      </c>
      <c r="B64" s="123" t="s">
        <v>64</v>
      </c>
      <c r="C64" s="21" t="s">
        <v>310</v>
      </c>
      <c r="D64" s="21" t="s">
        <v>311</v>
      </c>
      <c r="E64" s="21">
        <v>2024</v>
      </c>
      <c r="F64" s="21" t="s">
        <v>21</v>
      </c>
      <c r="G64" s="388"/>
      <c r="H64" s="388"/>
      <c r="I64" s="21" t="s">
        <v>35</v>
      </c>
      <c r="J64" s="387">
        <v>45627</v>
      </c>
      <c r="K64" s="21" t="s">
        <v>21</v>
      </c>
      <c r="L64" s="16" t="s">
        <v>312</v>
      </c>
      <c r="N64" s="21">
        <v>39615345</v>
      </c>
      <c r="O64" s="21" t="s">
        <v>313</v>
      </c>
      <c r="P64" s="136" t="s">
        <v>314</v>
      </c>
    </row>
    <row r="65" spans="1:16" ht="127.5" hidden="1" customHeight="1">
      <c r="A65" s="366" t="s">
        <v>16</v>
      </c>
      <c r="B65" s="47" t="s">
        <v>72</v>
      </c>
      <c r="C65" s="16" t="s">
        <v>315</v>
      </c>
      <c r="D65" s="459" t="s">
        <v>316</v>
      </c>
      <c r="E65" s="16">
        <v>2025</v>
      </c>
      <c r="I65" s="16" t="s">
        <v>72</v>
      </c>
      <c r="L65" s="489" t="s">
        <v>316</v>
      </c>
      <c r="P65" s="364"/>
    </row>
    <row r="66" spans="1:16" ht="82.5" hidden="1" customHeight="1">
      <c r="A66" s="366" t="s">
        <v>16</v>
      </c>
      <c r="B66" s="363" t="s">
        <v>72</v>
      </c>
      <c r="C66" s="364" t="s">
        <v>317</v>
      </c>
      <c r="D66" s="364" t="s">
        <v>318</v>
      </c>
      <c r="E66" s="16">
        <v>2025</v>
      </c>
      <c r="I66" s="16" t="s">
        <v>72</v>
      </c>
      <c r="L66" s="489" t="s">
        <v>319</v>
      </c>
    </row>
    <row r="67" spans="1:16" ht="144" hidden="1" customHeight="1">
      <c r="A67" s="145" t="s">
        <v>16</v>
      </c>
      <c r="B67" s="397" t="s">
        <v>126</v>
      </c>
      <c r="C67" s="458" t="s">
        <v>320</v>
      </c>
      <c r="D67" s="458" t="s">
        <v>321</v>
      </c>
      <c r="E67" s="21">
        <v>2025</v>
      </c>
      <c r="F67" s="21" t="s">
        <v>215</v>
      </c>
      <c r="G67" s="388"/>
      <c r="H67" s="388"/>
      <c r="I67" s="21" t="s">
        <v>35</v>
      </c>
      <c r="J67" s="387">
        <v>45783</v>
      </c>
      <c r="K67" s="21" t="s">
        <v>21</v>
      </c>
      <c r="L67" s="16" t="s">
        <v>322</v>
      </c>
      <c r="N67" s="144">
        <v>40324788</v>
      </c>
      <c r="O67" s="145"/>
      <c r="P67" s="460" t="s">
        <v>323</v>
      </c>
    </row>
    <row r="68" spans="1:16" ht="93" hidden="1" customHeight="1">
      <c r="A68" s="21" t="s">
        <v>16</v>
      </c>
      <c r="B68" s="123" t="s">
        <v>64</v>
      </c>
      <c r="C68" s="350" t="s">
        <v>324</v>
      </c>
      <c r="D68" s="21" t="s">
        <v>325</v>
      </c>
      <c r="E68" s="21">
        <v>2024</v>
      </c>
      <c r="F68" s="21" t="s">
        <v>21</v>
      </c>
      <c r="G68" s="388"/>
      <c r="H68" s="388"/>
      <c r="I68" s="21" t="s">
        <v>35</v>
      </c>
      <c r="J68" s="387">
        <v>45552</v>
      </c>
      <c r="K68" s="21" t="s">
        <v>21</v>
      </c>
      <c r="L68" s="16" t="s">
        <v>326</v>
      </c>
      <c r="N68" s="122">
        <v>38719692</v>
      </c>
      <c r="O68" s="21" t="s">
        <v>327</v>
      </c>
      <c r="P68" s="148"/>
    </row>
    <row r="69" spans="1:16" ht="57.75" hidden="1" customHeight="1">
      <c r="A69" s="21" t="s">
        <v>16</v>
      </c>
      <c r="B69" s="397" t="s">
        <v>328</v>
      </c>
      <c r="C69" s="350" t="s">
        <v>329</v>
      </c>
      <c r="D69" s="350" t="s">
        <v>330</v>
      </c>
      <c r="E69" s="21">
        <v>2025</v>
      </c>
      <c r="F69" s="21" t="s">
        <v>215</v>
      </c>
      <c r="G69" s="388"/>
      <c r="H69" s="388"/>
      <c r="I69" s="21" t="s">
        <v>35</v>
      </c>
      <c r="J69" s="387">
        <v>45717</v>
      </c>
      <c r="K69" s="21" t="s">
        <v>21</v>
      </c>
      <c r="L69" s="16" t="s">
        <v>331</v>
      </c>
      <c r="N69" s="122">
        <v>40129365</v>
      </c>
      <c r="O69" s="21" t="s">
        <v>332</v>
      </c>
      <c r="P69" s="33" t="s">
        <v>333</v>
      </c>
    </row>
    <row r="70" spans="1:16" ht="113.25" hidden="1" customHeight="1">
      <c r="A70" s="464" t="s">
        <v>16</v>
      </c>
      <c r="B70" s="466" t="s">
        <v>334</v>
      </c>
      <c r="C70" s="469" t="s">
        <v>335</v>
      </c>
      <c r="D70" s="469" t="s">
        <v>336</v>
      </c>
      <c r="E70" s="473">
        <v>2026</v>
      </c>
      <c r="F70" s="473" t="s">
        <v>35</v>
      </c>
      <c r="G70" s="473" t="s">
        <v>176</v>
      </c>
      <c r="I70" s="16" t="s">
        <v>35</v>
      </c>
      <c r="L70" s="221" t="s">
        <v>337</v>
      </c>
    </row>
    <row r="71" spans="1:16" ht="81.75" hidden="1" customHeight="1">
      <c r="A71" s="21" t="s">
        <v>16</v>
      </c>
      <c r="B71" s="123" t="s">
        <v>338</v>
      </c>
      <c r="C71" s="350" t="s">
        <v>339</v>
      </c>
      <c r="D71" s="350" t="s">
        <v>340</v>
      </c>
      <c r="E71" s="21">
        <v>2025</v>
      </c>
      <c r="F71" s="21" t="s">
        <v>21</v>
      </c>
      <c r="G71" s="388"/>
      <c r="H71" s="388"/>
      <c r="I71" s="21" t="s">
        <v>35</v>
      </c>
      <c r="J71" s="387" t="s">
        <v>341</v>
      </c>
      <c r="K71" s="21" t="s">
        <v>21</v>
      </c>
      <c r="L71" s="136" t="s">
        <v>342</v>
      </c>
      <c r="N71" s="122"/>
      <c r="O71" s="21"/>
    </row>
    <row r="72" spans="1:16" ht="64.5" hidden="1" customHeight="1">
      <c r="A72" s="21" t="s">
        <v>16</v>
      </c>
      <c r="B72" s="123" t="s">
        <v>343</v>
      </c>
      <c r="C72" s="350" t="s">
        <v>344</v>
      </c>
      <c r="D72" s="350" t="s">
        <v>345</v>
      </c>
      <c r="E72" s="21">
        <v>2025</v>
      </c>
      <c r="F72" s="21" t="s">
        <v>346</v>
      </c>
      <c r="G72" s="388"/>
      <c r="H72" s="388"/>
      <c r="I72" s="21" t="s">
        <v>35</v>
      </c>
      <c r="J72" s="387" t="s">
        <v>347</v>
      </c>
      <c r="K72" s="21" t="s">
        <v>21</v>
      </c>
      <c r="L72" s="460" t="s">
        <v>348</v>
      </c>
      <c r="N72" s="462"/>
      <c r="O72" s="21"/>
    </row>
    <row r="73" spans="1:16" ht="110.25" hidden="1" customHeight="1">
      <c r="A73" s="21" t="s">
        <v>16</v>
      </c>
      <c r="B73" s="123" t="s">
        <v>349</v>
      </c>
      <c r="C73" s="350" t="s">
        <v>350</v>
      </c>
      <c r="D73" s="350" t="s">
        <v>351</v>
      </c>
      <c r="E73" s="21">
        <v>2025</v>
      </c>
      <c r="F73" s="21"/>
      <c r="G73" s="388"/>
      <c r="H73" s="388"/>
      <c r="I73" s="21" t="s">
        <v>35</v>
      </c>
      <c r="J73" s="387"/>
      <c r="K73" s="21" t="s">
        <v>21</v>
      </c>
      <c r="L73" s="33" t="s">
        <v>352</v>
      </c>
      <c r="N73" s="461">
        <v>41197975</v>
      </c>
      <c r="O73" s="21"/>
      <c r="P73" s="16" t="s">
        <v>353</v>
      </c>
    </row>
    <row r="74" spans="1:16" ht="93.75" hidden="1" customHeight="1">
      <c r="A74" s="21" t="s">
        <v>16</v>
      </c>
      <c r="B74" s="123" t="s">
        <v>72</v>
      </c>
      <c r="C74" s="21" t="s">
        <v>354</v>
      </c>
      <c r="D74" s="395" t="s">
        <v>355</v>
      </c>
      <c r="E74" s="21">
        <v>2025</v>
      </c>
      <c r="F74" s="21" t="s">
        <v>356</v>
      </c>
      <c r="G74" s="388"/>
      <c r="H74" s="388"/>
      <c r="I74" s="21" t="s">
        <v>72</v>
      </c>
      <c r="J74" s="387">
        <v>45852</v>
      </c>
      <c r="K74" s="21" t="s">
        <v>21</v>
      </c>
      <c r="L74" s="136" t="s">
        <v>357</v>
      </c>
      <c r="N74" s="122"/>
      <c r="O74" s="21"/>
    </row>
    <row r="75" spans="1:16" ht="36" hidden="1" customHeight="1">
      <c r="A75" s="366" t="s">
        <v>16</v>
      </c>
      <c r="B75" s="47" t="s">
        <v>17</v>
      </c>
      <c r="C75" s="16" t="s">
        <v>358</v>
      </c>
      <c r="D75" s="16" t="s">
        <v>359</v>
      </c>
      <c r="E75" s="16">
        <v>2025</v>
      </c>
      <c r="I75" s="16" t="s">
        <v>20</v>
      </c>
      <c r="J75" s="17">
        <v>45883</v>
      </c>
      <c r="K75" s="16" t="s">
        <v>21</v>
      </c>
      <c r="L75" s="16" t="s">
        <v>360</v>
      </c>
      <c r="N75" s="25">
        <v>39173168</v>
      </c>
      <c r="O75" s="16" t="s">
        <v>361</v>
      </c>
    </row>
    <row r="76" spans="1:16" ht="152.25" hidden="1" customHeight="1">
      <c r="A76" s="165" t="s">
        <v>16</v>
      </c>
      <c r="B76" s="47" t="s">
        <v>72</v>
      </c>
      <c r="C76" s="16" t="s">
        <v>362</v>
      </c>
      <c r="D76" s="16" t="s">
        <v>363</v>
      </c>
      <c r="E76" s="16">
        <v>2025</v>
      </c>
      <c r="I76" s="16" t="s">
        <v>72</v>
      </c>
      <c r="J76" s="17">
        <v>45890</v>
      </c>
      <c r="K76" s="16" t="s">
        <v>21</v>
      </c>
      <c r="L76" s="221" t="s">
        <v>364</v>
      </c>
    </row>
    <row r="77" spans="1:16" ht="195" hidden="1">
      <c r="A77" s="366" t="s">
        <v>16</v>
      </c>
      <c r="B77" s="347" t="s">
        <v>64</v>
      </c>
      <c r="C77" s="16" t="s">
        <v>365</v>
      </c>
      <c r="D77" s="347" t="s">
        <v>366</v>
      </c>
      <c r="E77" s="16">
        <v>2025</v>
      </c>
      <c r="I77" s="16" t="s">
        <v>35</v>
      </c>
      <c r="K77" s="16" t="s">
        <v>21</v>
      </c>
      <c r="L77" s="221" t="s">
        <v>367</v>
      </c>
    </row>
    <row r="78" spans="1:16" ht="93.75" hidden="1" customHeight="1">
      <c r="A78" s="366" t="s">
        <v>16</v>
      </c>
      <c r="B78" s="47" t="s">
        <v>368</v>
      </c>
      <c r="C78" s="44" t="s">
        <v>369</v>
      </c>
      <c r="D78" s="364" t="s">
        <v>370</v>
      </c>
      <c r="E78" s="16">
        <v>2025</v>
      </c>
      <c r="I78" s="16" t="s">
        <v>35</v>
      </c>
      <c r="K78" s="16" t="s">
        <v>21</v>
      </c>
      <c r="L78" s="33" t="s">
        <v>371</v>
      </c>
      <c r="N78" s="25">
        <v>41371123</v>
      </c>
      <c r="P78" s="16" t="s">
        <v>372</v>
      </c>
    </row>
    <row r="79" spans="1:16" ht="135" hidden="1">
      <c r="A79" s="366" t="s">
        <v>16</v>
      </c>
      <c r="B79" s="47" t="s">
        <v>72</v>
      </c>
      <c r="C79" s="365" t="s">
        <v>373</v>
      </c>
      <c r="D79" s="365" t="s">
        <v>374</v>
      </c>
      <c r="E79" s="16">
        <v>2025</v>
      </c>
      <c r="I79" s="16" t="s">
        <v>72</v>
      </c>
      <c r="K79" s="16" t="s">
        <v>21</v>
      </c>
      <c r="L79" s="59" t="s">
        <v>375</v>
      </c>
    </row>
    <row r="80" spans="1:16" ht="125.25" hidden="1" customHeight="1">
      <c r="A80" s="366" t="s">
        <v>16</v>
      </c>
      <c r="B80" s="47" t="s">
        <v>72</v>
      </c>
      <c r="C80" s="364" t="s">
        <v>376</v>
      </c>
      <c r="D80" s="16" t="s">
        <v>377</v>
      </c>
      <c r="E80" s="16">
        <v>2025</v>
      </c>
      <c r="I80" s="16" t="s">
        <v>72</v>
      </c>
      <c r="K80" s="16" t="s">
        <v>21</v>
      </c>
      <c r="L80" s="59" t="s">
        <v>378</v>
      </c>
    </row>
    <row r="81" spans="1:16" ht="89.25" customHeight="1">
      <c r="A81" s="21" t="s">
        <v>379</v>
      </c>
      <c r="B81" s="123" t="s">
        <v>380</v>
      </c>
      <c r="C81" s="350" t="s">
        <v>381</v>
      </c>
      <c r="D81" s="350" t="s">
        <v>382</v>
      </c>
      <c r="E81" s="21">
        <v>2026</v>
      </c>
      <c r="F81" s="21" t="s">
        <v>346</v>
      </c>
      <c r="G81" s="388"/>
      <c r="H81" s="388"/>
      <c r="I81" s="21" t="s">
        <v>35</v>
      </c>
      <c r="J81" s="387" t="s">
        <v>383</v>
      </c>
      <c r="K81" s="21"/>
      <c r="N81" s="122"/>
      <c r="O81" s="21"/>
      <c r="P81" s="16" t="s">
        <v>384</v>
      </c>
    </row>
    <row r="82" spans="1:16" ht="81.75" hidden="1" customHeight="1">
      <c r="A82" s="21" t="s">
        <v>16</v>
      </c>
      <c r="B82" s="123" t="s">
        <v>385</v>
      </c>
      <c r="C82" s="145" t="s">
        <v>386</v>
      </c>
      <c r="D82" s="145" t="s">
        <v>387</v>
      </c>
      <c r="E82" s="21">
        <v>2025</v>
      </c>
      <c r="F82" s="21" t="s">
        <v>176</v>
      </c>
      <c r="G82" s="388"/>
      <c r="H82" s="388"/>
      <c r="I82" s="21" t="s">
        <v>35</v>
      </c>
      <c r="J82" s="387" t="s">
        <v>388</v>
      </c>
      <c r="K82" s="21" t="s">
        <v>272</v>
      </c>
      <c r="L82" s="483" t="s">
        <v>389</v>
      </c>
      <c r="N82" s="122"/>
      <c r="O82" s="21"/>
      <c r="P82" s="16" t="s">
        <v>390</v>
      </c>
    </row>
    <row r="83" spans="1:16" ht="48" customHeight="1">
      <c r="A83" s="366" t="s">
        <v>379</v>
      </c>
      <c r="B83" s="47" t="s">
        <v>391</v>
      </c>
      <c r="C83" s="44" t="s">
        <v>392</v>
      </c>
      <c r="D83" s="44" t="s">
        <v>393</v>
      </c>
      <c r="E83" s="16">
        <v>2025</v>
      </c>
      <c r="I83" s="16" t="s">
        <v>35</v>
      </c>
      <c r="L83" s="364"/>
      <c r="P83" s="16" t="s">
        <v>394</v>
      </c>
    </row>
    <row r="84" spans="1:16" ht="57.75" hidden="1" customHeight="1">
      <c r="A84" s="366" t="s">
        <v>16</v>
      </c>
      <c r="B84" s="363" t="s">
        <v>395</v>
      </c>
      <c r="C84" s="364" t="s">
        <v>396</v>
      </c>
      <c r="D84" s="348" t="s">
        <v>397</v>
      </c>
      <c r="E84" s="364">
        <v>2026</v>
      </c>
      <c r="F84" s="364"/>
      <c r="G84" s="476"/>
      <c r="I84" s="16" t="s">
        <v>35</v>
      </c>
      <c r="K84" s="16" t="s">
        <v>176</v>
      </c>
      <c r="L84" s="364"/>
    </row>
    <row r="85" spans="1:16" ht="52.5" customHeight="1">
      <c r="A85" s="366" t="s">
        <v>398</v>
      </c>
      <c r="B85" s="468" t="s">
        <v>126</v>
      </c>
      <c r="C85" s="471" t="s">
        <v>399</v>
      </c>
      <c r="D85" s="472" t="s">
        <v>400</v>
      </c>
      <c r="E85" s="471">
        <v>2026</v>
      </c>
      <c r="F85" s="471"/>
      <c r="G85" s="477"/>
      <c r="I85" s="16" t="s">
        <v>35</v>
      </c>
      <c r="K85" s="16" t="s">
        <v>176</v>
      </c>
    </row>
    <row r="86" spans="1:16" ht="72.75" hidden="1" customHeight="1">
      <c r="A86" s="465" t="s">
        <v>16</v>
      </c>
      <c r="B86" s="467" t="s">
        <v>64</v>
      </c>
      <c r="C86" s="470" t="s">
        <v>401</v>
      </c>
      <c r="D86" s="470" t="s">
        <v>402</v>
      </c>
      <c r="E86" s="474">
        <v>2025</v>
      </c>
      <c r="F86" s="474" t="s">
        <v>215</v>
      </c>
      <c r="G86" s="475"/>
      <c r="H86" s="388"/>
      <c r="I86" s="21" t="s">
        <v>35</v>
      </c>
      <c r="J86" s="387"/>
      <c r="K86" s="21" t="s">
        <v>21</v>
      </c>
      <c r="L86" s="16" t="s">
        <v>403</v>
      </c>
      <c r="N86" s="122">
        <v>41442863</v>
      </c>
      <c r="O86" s="21"/>
      <c r="P86" s="33" t="s">
        <v>404</v>
      </c>
    </row>
    <row r="87" spans="1:16" ht="66" hidden="1" customHeight="1">
      <c r="A87" s="366" t="s">
        <v>16</v>
      </c>
      <c r="B87" s="466" t="s">
        <v>385</v>
      </c>
      <c r="C87" s="469" t="s">
        <v>405</v>
      </c>
      <c r="D87" s="473" t="s">
        <v>406</v>
      </c>
      <c r="E87" s="473">
        <v>2026</v>
      </c>
      <c r="F87" s="473" t="s">
        <v>35</v>
      </c>
      <c r="G87" s="473" t="s">
        <v>176</v>
      </c>
      <c r="I87" s="16" t="s">
        <v>35</v>
      </c>
      <c r="K87" s="16" t="s">
        <v>176</v>
      </c>
      <c r="P87" s="16" t="s">
        <v>407</v>
      </c>
    </row>
    <row r="88" spans="1:16" ht="36.75" hidden="1" customHeight="1">
      <c r="A88" s="366" t="s">
        <v>16</v>
      </c>
      <c r="B88" s="47" t="s">
        <v>17</v>
      </c>
      <c r="C88" s="398" t="s">
        <v>408</v>
      </c>
      <c r="D88" s="16" t="s">
        <v>409</v>
      </c>
      <c r="E88" s="16">
        <v>2026</v>
      </c>
      <c r="I88" s="16" t="s">
        <v>20</v>
      </c>
      <c r="L88" s="364"/>
    </row>
    <row r="89" spans="1:16" ht="101.45" hidden="1">
      <c r="A89" s="366" t="s">
        <v>16</v>
      </c>
      <c r="B89" s="47" t="s">
        <v>72</v>
      </c>
      <c r="C89" s="349" t="s">
        <v>410</v>
      </c>
      <c r="D89" s="16" t="s">
        <v>411</v>
      </c>
      <c r="E89" s="16">
        <v>2026</v>
      </c>
      <c r="I89" s="16" t="s">
        <v>72</v>
      </c>
      <c r="K89" s="16" t="s">
        <v>21</v>
      </c>
      <c r="L89" s="59" t="s">
        <v>412</v>
      </c>
    </row>
    <row r="90" spans="1:16" ht="47.25" hidden="1" customHeight="1">
      <c r="A90" s="366" t="s">
        <v>16</v>
      </c>
      <c r="B90" s="47" t="s">
        <v>20</v>
      </c>
      <c r="C90" s="350" t="s">
        <v>413</v>
      </c>
      <c r="D90" s="364" t="s">
        <v>414</v>
      </c>
      <c r="E90" s="16">
        <v>2026</v>
      </c>
      <c r="I90" s="16" t="s">
        <v>20</v>
      </c>
      <c r="K90" s="16" t="s">
        <v>21</v>
      </c>
    </row>
    <row r="91" spans="1:16" ht="51" hidden="1" customHeight="1">
      <c r="A91" s="399" t="s">
        <v>16</v>
      </c>
      <c r="B91" s="351" t="s">
        <v>20</v>
      </c>
      <c r="C91" s="352" t="s">
        <v>415</v>
      </c>
      <c r="D91" s="353" t="s">
        <v>416</v>
      </c>
      <c r="E91" s="352">
        <v>2026</v>
      </c>
      <c r="I91" s="352" t="s">
        <v>20</v>
      </c>
      <c r="K91" s="352" t="s">
        <v>21</v>
      </c>
      <c r="L91" s="478" t="s">
        <v>417</v>
      </c>
      <c r="N91" s="479">
        <v>41886308</v>
      </c>
      <c r="O91" s="352"/>
      <c r="P91" s="352"/>
    </row>
    <row r="92" spans="1:16" ht="48.75" hidden="1" customHeight="1">
      <c r="A92" s="366" t="s">
        <v>16</v>
      </c>
      <c r="B92" s="47" t="s">
        <v>64</v>
      </c>
      <c r="C92" s="16" t="s">
        <v>418</v>
      </c>
      <c r="D92" s="364" t="s">
        <v>419</v>
      </c>
      <c r="E92" s="16">
        <v>2026</v>
      </c>
      <c r="I92" s="16" t="s">
        <v>35</v>
      </c>
      <c r="K92" s="16" t="s">
        <v>21</v>
      </c>
      <c r="L92" s="16" t="s">
        <v>420</v>
      </c>
      <c r="N92" s="25">
        <v>41950848</v>
      </c>
    </row>
    <row r="93" spans="1:16" s="352" customFormat="1" ht="67.5" hidden="1" customHeight="1">
      <c r="A93" s="366" t="s">
        <v>16</v>
      </c>
      <c r="B93" s="47" t="s">
        <v>421</v>
      </c>
      <c r="C93" s="16" t="s">
        <v>422</v>
      </c>
      <c r="D93" s="364" t="s">
        <v>393</v>
      </c>
      <c r="E93" s="16">
        <v>2026</v>
      </c>
      <c r="F93" s="16"/>
      <c r="G93" s="18"/>
      <c r="H93" s="18"/>
      <c r="I93" s="16" t="s">
        <v>35</v>
      </c>
      <c r="J93" s="17"/>
      <c r="K93" s="16"/>
      <c r="L93" s="364" t="s">
        <v>423</v>
      </c>
      <c r="M93" s="16"/>
      <c r="N93" s="480">
        <v>42001958</v>
      </c>
      <c r="O93" s="16"/>
      <c r="P93" s="16"/>
    </row>
    <row r="94" spans="1:16" ht="69" customHeight="1">
      <c r="A94" s="366" t="s">
        <v>379</v>
      </c>
      <c r="B94" s="47" t="s">
        <v>42</v>
      </c>
      <c r="C94" s="145" t="s">
        <v>424</v>
      </c>
      <c r="D94" s="420" t="s">
        <v>425</v>
      </c>
      <c r="E94" s="16">
        <v>2026</v>
      </c>
      <c r="I94" s="16" t="s">
        <v>35</v>
      </c>
    </row>
    <row r="95" spans="1:16" ht="37.5" hidden="1">
      <c r="A95" s="366" t="s">
        <v>16</v>
      </c>
      <c r="B95" s="47" t="s">
        <v>72</v>
      </c>
      <c r="C95" s="485" t="s">
        <v>426</v>
      </c>
      <c r="D95" s="485" t="s">
        <v>427</v>
      </c>
      <c r="E95" s="16">
        <v>2026</v>
      </c>
      <c r="I95" s="16" t="s">
        <v>72</v>
      </c>
      <c r="K95" s="16" t="s">
        <v>272</v>
      </c>
      <c r="L95" s="220" t="s">
        <v>428</v>
      </c>
    </row>
    <row r="96" spans="1:16" ht="29.25" hidden="1" customHeight="1">
      <c r="A96" s="366" t="s">
        <v>16</v>
      </c>
      <c r="B96" s="47" t="s">
        <v>64</v>
      </c>
      <c r="C96" s="485" t="s">
        <v>429</v>
      </c>
      <c r="D96" s="485" t="s">
        <v>430</v>
      </c>
      <c r="E96" s="16">
        <v>2026</v>
      </c>
      <c r="I96" s="16" t="s">
        <v>35</v>
      </c>
      <c r="K96" s="16" t="s">
        <v>176</v>
      </c>
      <c r="L96" s="221" t="s">
        <v>431</v>
      </c>
    </row>
    <row r="97" spans="1:9" ht="37.5" customHeight="1">
      <c r="A97" s="366" t="s">
        <v>379</v>
      </c>
      <c r="B97" s="47" t="s">
        <v>64</v>
      </c>
      <c r="C97" s="16" t="s">
        <v>432</v>
      </c>
      <c r="D97" s="16" t="s">
        <v>433</v>
      </c>
      <c r="E97" s="16">
        <v>2026</v>
      </c>
      <c r="I97" s="16" t="s">
        <v>35</v>
      </c>
    </row>
    <row r="98" spans="1:9" ht="12.75" hidden="1" customHeight="1">
      <c r="A98" s="366" t="s">
        <v>379</v>
      </c>
    </row>
  </sheetData>
  <autoFilter ref="A1:P98" xr:uid="{00000000-0001-0000-0100-000000000000}">
    <filterColumn colId="0">
      <filters>
        <filter val="Accepted"/>
        <filter val="Submitted"/>
      </filters>
    </filterColumn>
    <filterColumn colId="4">
      <filters>
        <filter val="2025"/>
        <filter val="2026"/>
      </filters>
    </filterColumn>
    <sortState xmlns:xlrd2="http://schemas.microsoft.com/office/spreadsheetml/2017/richdata2" ref="A2:P83">
      <sortCondition ref="A1:A83"/>
    </sortState>
  </autoFilter>
  <sortState xmlns:xlrd2="http://schemas.microsoft.com/office/spreadsheetml/2017/richdata2" ref="A70:P97">
    <sortCondition ref="A2:A97"/>
  </sortState>
  <dataValidations count="1">
    <dataValidation type="list" allowBlank="1" showInputMessage="1" showErrorMessage="1" sqref="I1034:I1048576" xr:uid="{D5DBCA84-6588-4B19-B6AD-5E42EB8722DF}">
      <formula1>#REF!</formula1>
    </dataValidation>
  </dataValidations>
  <hyperlinks>
    <hyperlink ref="L34" r:id="rId1" display="http://dx.doi.org/10.15585/mmwr.mm7245a2" xr:uid="{AE991080-7FC8-47D1-91BF-68C81CCA3A64}"/>
    <hyperlink ref="L35" r:id="rId2" xr:uid="{59C342A1-4C07-4F5D-9BCF-C7FE407942BD}"/>
    <hyperlink ref="L37" r:id="rId3" xr:uid="{5B6485B6-AEC4-4CCB-945D-146E91B6989B}"/>
    <hyperlink ref="P39" r:id="rId4" xr:uid="{0892BB75-4298-487F-AD62-80FF16220833}"/>
    <hyperlink ref="L43" r:id="rId5" display="https://authors.elsevier.com/c/1j9jv,60n7r~TE" xr:uid="{737C12A7-C548-4D0E-B282-69C5BB7BF398}"/>
    <hyperlink ref="P45" r:id="rId6" xr:uid="{F5A7884E-E942-48C9-90E0-747F0DFA9598}"/>
    <hyperlink ref="L45" r:id="rId7" xr:uid="{1373BFCB-E0CF-4315-B585-3D520769E45C}"/>
    <hyperlink ref="L50" r:id="rId8" display="https://www.cdc.gov/vaccines/imz-managers/coverage/teenvaxview/downloads/Error-Profile-2023-NIS-Teen.pdf" xr:uid="{3A998A63-9288-4117-A34B-0A536270898D}"/>
    <hyperlink ref="P49" r:id="rId9" display="https://www.cdc.gov/mmwr/volumes/73/wr/mm7333a1.htm" xr:uid="{B9692668-9D4F-40F2-9969-69EB2B2B8CFC}"/>
    <hyperlink ref="P51" r:id="rId10" display="https://www.cdc.gov/mmwr/volumes/73/wr/mm7333e1.htm" xr:uid="{024AF8D2-697E-4820-AF8F-E0185E6F5F99}"/>
    <hyperlink ref="P48" r:id="rId11" display="https://www.cdc.gov/vaccines/imz-managers/coverage/adultvaxview/pubs-resources/vaccination-coverage-adults-2022.html" xr:uid="{36552822-0142-4CEA-8AD4-3E1F59478509}"/>
    <hyperlink ref="P52" r:id="rId12" display="https://www.cdc.gov/mmwr/volumes/73/wr/mm7338a3.htm?s_cid=mm7338a3_w" xr:uid="{A51C30DD-6BC4-47BA-940E-98274F044680}"/>
    <hyperlink ref="P53" r:id="rId13" display="https://www.cdc.gov/mmwr/volumes/73/wr/mm7338a4.htm?s_cid=mm7338a4_w" xr:uid="{0A4E5203-7E37-4188-901F-11E1B703C994}"/>
    <hyperlink ref="L56" r:id="rId14" display="https://www.cdc.gov/fluvaxview/coverage-by-season/pregnant-april-2024.html" xr:uid="{2D9EB050-0126-40A9-BC93-84782A7D4622}"/>
    <hyperlink ref="L57" r:id="rId15" display="https://www.cdc.gov/fluvaxview/coverage-by-season/2023-2024.html" xr:uid="{48C28348-2CC8-4DA9-B104-0110740E7813}"/>
    <hyperlink ref="L58" r:id="rId16" xr:uid="{B1648AE5-6C3C-49F9-AFC7-4FAAA1E05E5A}"/>
    <hyperlink ref="P55" r:id="rId17" xr:uid="{C8A761CE-470F-4183-A0BC-31DCB8ACAAD6}"/>
    <hyperlink ref="L63" r:id="rId18" display="https://www.childstats.gov/americaschildren/" xr:uid="{B4D8EDCF-04CC-412E-9CDF-846A49EB8D3F}"/>
    <hyperlink ref="P64" r:id="rId19" display="https://pubmed.ncbi.nlm.nih.gov/39615345/" xr:uid="{70AA70F6-55A1-4B6F-BAAF-C0FE33CC19FE}"/>
    <hyperlink ref="P62" r:id="rId20" xr:uid="{C92A5A74-AD69-41ED-B9A5-C36CDE0E0FD4}"/>
    <hyperlink ref="L18" r:id="rId21" xr:uid="{003CC049-1959-4B54-BA61-1729755FC544}"/>
    <hyperlink ref="L46" r:id="rId22" xr:uid="{E00C029D-CF48-4DEE-8663-434EB4845E51}"/>
    <hyperlink ref="L71" r:id="rId23" display="Estimating historical impacts of vaccination against influenza B/Yamagata in the United States to inform possible risks of re-emergence in the absence of vaccination - ScienceDirect" xr:uid="{F96A26D7-ECC1-44DD-BFA6-F12250BC98D8}"/>
    <hyperlink ref="L72" r:id="rId24" display="https://www.sciencedirect.com/science/article/pii/S0264410X25007121?dgcid=author    Parental Reasons for Non-Receipt of Influenza Vaccination Among Children 6 Months–17 Years and Changes Over Time, 2015–2024 by Katherine E. Kahn, Tammy A. Santibanez, Anurag Jain, Tianyi Zhou, Carla L. Black :: SSRN" xr:uid="{436DB8E1-12C0-4A9F-9EF5-32734867506D}"/>
    <hyperlink ref="P67" r:id="rId25" xr:uid="{B3A6930A-7FD6-41B5-AB22-B80F69AC5E2F}"/>
    <hyperlink ref="L74" r:id="rId26" display="https://www.cdc.gov/respvaxview/publications/pregnancy-coverage-estimation.html" xr:uid="{85FEB190-8A44-4DF7-8CF7-84361EB3C130}"/>
    <hyperlink ref="L48" r:id="rId27" xr:uid="{0F8821B2-EFBA-4503-8D96-A00D19FA69AF}"/>
    <hyperlink ref="L54" r:id="rId28" xr:uid="{19D84FB8-E927-4FB3-8C41-17B396CBE7D1}"/>
    <hyperlink ref="L60" r:id="rId29" xr:uid="{A3C38E98-DB74-4970-9EB5-8A81835BC147}"/>
    <hyperlink ref="P69" r:id="rId30" location=":~:text=DOI%3A-,10.1080/14760584.2025.2483719,-Free%20article" xr:uid="{705F8D1D-F6C8-4420-8C1D-8EFC9378585C}"/>
    <hyperlink ref="L76" r:id="rId31" display="https://www.cdc.gov/teenvaxview/publications/us-pacific-island-coverage-estimates-2013-2024.html" xr:uid="{F4E4C9A0-5A93-4C0C-953B-594428EFE6B7}"/>
    <hyperlink ref="L73" r:id="rId32" xr:uid="{9CE8E1C8-CC00-4101-A41E-5C3701C81765}"/>
    <hyperlink ref="L78" r:id="rId33" xr:uid="{4E1F12F7-609D-4CDB-8358-54E651D24400}"/>
    <hyperlink ref="L79" r:id="rId34" xr:uid="{4F17A826-36A7-4F84-8CDE-C24FABD171B1}"/>
    <hyperlink ref="L80" r:id="rId35" xr:uid="{FE2A5260-5E85-4819-89B2-1A3BE18B26DE}"/>
    <hyperlink ref="P86" r:id="rId36" xr:uid="{2B7CE8E7-74DA-4E19-B381-F2B183059989}"/>
    <hyperlink ref="L89" r:id="rId37" xr:uid="{31E8D580-C644-4923-A77B-7D1DF9FC63DE}"/>
    <hyperlink ref="L77" r:id="rId38" xr:uid="{157E82D3-5884-4DC0-8F02-9DD86DD5A772}"/>
    <hyperlink ref="L82" r:id="rId39" xr:uid="{A947A2F4-04EA-40C3-8B0C-F7CB04DFC627}"/>
    <hyperlink ref="L95" r:id="rId40" xr:uid="{CE8834A7-80B3-484D-B4AC-577BDACF1D07}"/>
    <hyperlink ref="L96" r:id="rId41" xr:uid="{5412E675-178A-46B6-A632-88737E52348C}"/>
    <hyperlink ref="L70" r:id="rId42" xr:uid="{27816742-9EAC-47D4-8D6D-7CF43552B85B}"/>
    <hyperlink ref="L66" r:id="rId43" xr:uid="{AB04B3E5-AC77-4D77-9E4F-0C013F244FFD}"/>
    <hyperlink ref="L65" r:id="rId44" xr:uid="{523B2DE2-F124-43BE-B01F-80F18CA171EB}"/>
  </hyperlinks>
  <pageMargins left="0.7" right="0.7" top="0.75" bottom="0.75" header="0.3" footer="0.3"/>
  <pageSetup orientation="portrait" r:id="rId45"/>
  <extLst>
    <ext xmlns:x14="http://schemas.microsoft.com/office/spreadsheetml/2009/9/main" uri="{CCE6A557-97BC-4b89-ADB6-D9C93CAAB3DF}">
      <x14:dataValidations xmlns:xm="http://schemas.microsoft.com/office/excel/2006/main" count="2">
        <x14:dataValidation type="list" allowBlank="1" showInputMessage="1" showErrorMessage="1" xr:uid="{E4B8372C-075D-4635-9759-A1CE82DD109A}">
          <x14:formula1>
            <xm:f>#REF!</xm:f>
          </x14:formula1>
          <xm:sqref>A95:A521 A78:A85 A87:A93 A2:A76</xm:sqref>
        </x14:dataValidation>
        <x14:dataValidation type="list" allowBlank="1" showInputMessage="1" showErrorMessage="1" xr:uid="{15C305EA-E0CC-4CD6-8293-3352A97173EE}">
          <x14:formula1>
            <xm:f>#REF!</xm:f>
          </x14:formula1>
          <xm:sqref>I2:I93 I95:I1033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tabSelected="1" zoomScale="80" zoomScaleNormal="80" workbookViewId="0">
      <pane ySplit="1" topLeftCell="A2" activePane="bottomLeft" state="frozen"/>
      <selection pane="bottomLeft" activeCell="C15" sqref="C15"/>
      <selection activeCell="B1" sqref="B1"/>
    </sheetView>
  </sheetViews>
  <sheetFormatPr defaultColWidth="9.140625" defaultRowHeight="12.75" customHeight="1"/>
  <cols>
    <col min="1" max="1" width="20.85546875" style="36" customWidth="1"/>
    <col min="2" max="2" width="28.5703125" style="36" customWidth="1"/>
    <col min="3" max="3" width="51.28515625" style="36" customWidth="1"/>
    <col min="4" max="4" width="51.28515625" style="35" customWidth="1"/>
    <col min="5" max="5" width="9.5703125" style="37" customWidth="1"/>
    <col min="6" max="6" width="12.140625" style="36" hidden="1" customWidth="1"/>
    <col min="7" max="7" width="11.140625" style="36" hidden="1" customWidth="1"/>
    <col min="8" max="8" width="10.85546875" style="36" hidden="1" customWidth="1"/>
    <col min="9" max="9" width="11.140625" style="36" customWidth="1"/>
    <col min="10" max="10" width="17" style="36" hidden="1" customWidth="1"/>
    <col min="11" max="11" width="13.5703125" style="36" bestFit="1" customWidth="1"/>
    <col min="12" max="12" width="13.5703125" style="57" customWidth="1"/>
    <col min="13" max="13" width="16.28515625" style="57" hidden="1" customWidth="1"/>
    <col min="14" max="15" width="16.28515625" style="36" customWidth="1"/>
    <col min="16" max="16" width="15.85546875" style="36" customWidth="1"/>
    <col min="17" max="16384" width="9.140625" style="36"/>
  </cols>
  <sheetData>
    <row r="1" spans="1:18" s="34" customFormat="1" ht="65.099999999999994">
      <c r="A1" s="50" t="s">
        <v>0</v>
      </c>
      <c r="B1" s="101" t="s">
        <v>434</v>
      </c>
      <c r="C1" s="51" t="s">
        <v>2</v>
      </c>
      <c r="D1" s="94" t="s">
        <v>3</v>
      </c>
      <c r="E1" s="51" t="s">
        <v>4</v>
      </c>
      <c r="F1" s="50" t="s">
        <v>5</v>
      </c>
      <c r="G1" s="51" t="s">
        <v>6</v>
      </c>
      <c r="H1" s="95" t="s">
        <v>7</v>
      </c>
      <c r="I1" s="95" t="s">
        <v>8</v>
      </c>
      <c r="J1" s="96" t="s">
        <v>9</v>
      </c>
      <c r="K1" s="50" t="s">
        <v>10</v>
      </c>
      <c r="L1" s="50" t="s">
        <v>11</v>
      </c>
      <c r="M1" s="50" t="s">
        <v>435</v>
      </c>
      <c r="N1" s="51" t="s">
        <v>13</v>
      </c>
      <c r="O1" s="51" t="s">
        <v>14</v>
      </c>
      <c r="P1" s="51" t="s">
        <v>15</v>
      </c>
      <c r="Q1" s="51"/>
      <c r="R1" s="51"/>
    </row>
    <row r="2" spans="1:18" s="38" customFormat="1" ht="32.25" customHeight="1">
      <c r="A2" s="16" t="s">
        <v>16</v>
      </c>
      <c r="B2" s="123" t="s">
        <v>385</v>
      </c>
      <c r="C2" s="21" t="s">
        <v>436</v>
      </c>
      <c r="D2" s="21" t="s">
        <v>437</v>
      </c>
      <c r="E2" s="21">
        <v>2023</v>
      </c>
      <c r="F2" s="52" t="s">
        <v>21</v>
      </c>
      <c r="G2" s="52"/>
      <c r="H2" s="52"/>
      <c r="I2" s="21" t="s">
        <v>35</v>
      </c>
      <c r="J2" s="396">
        <v>44964</v>
      </c>
      <c r="K2" s="21" t="s">
        <v>21</v>
      </c>
      <c r="L2" s="16" t="s">
        <v>438</v>
      </c>
      <c r="M2" s="365" t="s">
        <v>439</v>
      </c>
      <c r="N2" s="47" t="s">
        <v>440</v>
      </c>
      <c r="O2" s="47" t="s">
        <v>440</v>
      </c>
      <c r="P2" s="16"/>
      <c r="Q2" s="11"/>
      <c r="R2" s="11"/>
    </row>
    <row r="3" spans="1:18" s="38" customFormat="1" ht="31.5" customHeight="1">
      <c r="A3" s="16" t="s">
        <v>16</v>
      </c>
      <c r="B3" s="123" t="s">
        <v>64</v>
      </c>
      <c r="C3" s="21" t="s">
        <v>441</v>
      </c>
      <c r="D3" s="21" t="s">
        <v>442</v>
      </c>
      <c r="E3" s="21">
        <v>2023</v>
      </c>
      <c r="F3" s="52" t="s">
        <v>21</v>
      </c>
      <c r="G3" s="52"/>
      <c r="H3" s="52"/>
      <c r="I3" s="21" t="s">
        <v>35</v>
      </c>
      <c r="J3" s="396">
        <v>44970</v>
      </c>
      <c r="K3" s="21" t="s">
        <v>21</v>
      </c>
      <c r="L3" s="16" t="s">
        <v>443</v>
      </c>
      <c r="M3" s="365"/>
      <c r="N3" s="16">
        <v>36797098</v>
      </c>
      <c r="O3" s="16" t="s">
        <v>444</v>
      </c>
      <c r="P3" s="16"/>
      <c r="Q3" s="11"/>
      <c r="R3" s="11"/>
    </row>
    <row r="4" spans="1:18" s="38" customFormat="1" ht="32.25" customHeight="1">
      <c r="A4" s="16" t="s">
        <v>16</v>
      </c>
      <c r="B4" s="47" t="s">
        <v>17</v>
      </c>
      <c r="C4" s="16" t="s">
        <v>445</v>
      </c>
      <c r="D4" s="16" t="s">
        <v>446</v>
      </c>
      <c r="E4" s="16">
        <v>2023</v>
      </c>
      <c r="F4" s="366" t="s">
        <v>21</v>
      </c>
      <c r="G4" s="366"/>
      <c r="H4" s="366"/>
      <c r="I4" s="16" t="s">
        <v>20</v>
      </c>
      <c r="J4" s="400">
        <v>44980</v>
      </c>
      <c r="K4" s="21" t="s">
        <v>21</v>
      </c>
      <c r="L4" s="16" t="s">
        <v>447</v>
      </c>
      <c r="M4" s="365"/>
      <c r="N4" s="16">
        <v>36795658</v>
      </c>
      <c r="O4" s="16" t="s">
        <v>448</v>
      </c>
      <c r="P4" s="16"/>
      <c r="Q4" s="11"/>
      <c r="R4" s="11"/>
    </row>
    <row r="5" spans="1:18" s="39" customFormat="1" ht="66.75" customHeight="1">
      <c r="A5" s="16" t="s">
        <v>16</v>
      </c>
      <c r="B5" s="123" t="s">
        <v>80</v>
      </c>
      <c r="C5" s="16" t="s">
        <v>449</v>
      </c>
      <c r="D5" s="16" t="s">
        <v>450</v>
      </c>
      <c r="E5" s="16">
        <v>2023</v>
      </c>
      <c r="F5" s="365" t="s">
        <v>176</v>
      </c>
      <c r="G5" s="365"/>
      <c r="H5" s="365"/>
      <c r="I5" s="16" t="s">
        <v>35</v>
      </c>
      <c r="J5" s="400">
        <v>45135</v>
      </c>
      <c r="K5" s="21" t="s">
        <v>21</v>
      </c>
      <c r="L5" s="16" t="s">
        <v>451</v>
      </c>
      <c r="M5" s="365" t="s">
        <v>452</v>
      </c>
      <c r="N5" s="16">
        <v>37503697</v>
      </c>
      <c r="O5" s="16" t="s">
        <v>453</v>
      </c>
      <c r="P5" s="16"/>
      <c r="Q5" s="16"/>
      <c r="R5" s="16"/>
    </row>
    <row r="6" spans="1:18" ht="47.25" customHeight="1">
      <c r="A6" s="16" t="s">
        <v>16</v>
      </c>
      <c r="B6" s="47" t="s">
        <v>64</v>
      </c>
      <c r="C6" s="16" t="s">
        <v>454</v>
      </c>
      <c r="D6" s="16" t="s">
        <v>455</v>
      </c>
      <c r="E6" s="16">
        <v>2023</v>
      </c>
      <c r="F6" s="366" t="s">
        <v>21</v>
      </c>
      <c r="G6" s="366"/>
      <c r="H6" s="366"/>
      <c r="I6" s="16" t="s">
        <v>35</v>
      </c>
      <c r="J6" s="400">
        <v>45274</v>
      </c>
      <c r="K6" s="16" t="s">
        <v>75</v>
      </c>
      <c r="L6" s="163" t="s">
        <v>456</v>
      </c>
      <c r="M6" s="365" t="s">
        <v>457</v>
      </c>
      <c r="N6" s="16">
        <v>38097453</v>
      </c>
      <c r="O6" s="16" t="s">
        <v>458</v>
      </c>
      <c r="P6" s="141" t="s">
        <v>459</v>
      </c>
      <c r="Q6" s="11"/>
      <c r="R6" s="11"/>
    </row>
    <row r="7" spans="1:18" ht="125.1">
      <c r="A7" s="16" t="s">
        <v>16</v>
      </c>
      <c r="B7" s="47" t="s">
        <v>64</v>
      </c>
      <c r="C7" s="16" t="s">
        <v>460</v>
      </c>
      <c r="D7" s="16" t="s">
        <v>461</v>
      </c>
      <c r="E7" s="16">
        <v>2024</v>
      </c>
      <c r="F7" s="366" t="s">
        <v>21</v>
      </c>
      <c r="G7" s="40" t="s">
        <v>462</v>
      </c>
      <c r="H7" s="366"/>
      <c r="I7" s="16" t="s">
        <v>35</v>
      </c>
      <c r="J7" s="400" t="s">
        <v>463</v>
      </c>
      <c r="K7" s="21" t="s">
        <v>21</v>
      </c>
      <c r="L7" s="16" t="s">
        <v>464</v>
      </c>
      <c r="M7" s="365" t="s">
        <v>465</v>
      </c>
      <c r="N7" s="16">
        <v>38302337</v>
      </c>
      <c r="O7" s="16" t="s">
        <v>466</v>
      </c>
      <c r="P7" s="141" t="s">
        <v>467</v>
      </c>
      <c r="Q7" s="11"/>
      <c r="R7" s="11"/>
    </row>
    <row r="8" spans="1:18" ht="198.75" customHeight="1">
      <c r="A8" s="16" t="s">
        <v>16</v>
      </c>
      <c r="B8" s="47" t="s">
        <v>64</v>
      </c>
      <c r="C8" s="140" t="s">
        <v>468</v>
      </c>
      <c r="D8" s="401" t="s">
        <v>469</v>
      </c>
      <c r="E8" s="16">
        <v>2024</v>
      </c>
      <c r="F8" s="366" t="s">
        <v>21</v>
      </c>
      <c r="G8" s="366" t="s">
        <v>470</v>
      </c>
      <c r="H8" s="366" t="s">
        <v>471</v>
      </c>
      <c r="I8" s="16" t="s">
        <v>35</v>
      </c>
      <c r="J8" s="400">
        <v>45358</v>
      </c>
      <c r="K8" s="16" t="s">
        <v>21</v>
      </c>
      <c r="L8" s="16" t="s">
        <v>472</v>
      </c>
      <c r="M8" s="365" t="s">
        <v>473</v>
      </c>
      <c r="N8" s="16">
        <v>38453621</v>
      </c>
      <c r="O8" s="16" t="s">
        <v>474</v>
      </c>
      <c r="P8" s="141" t="s">
        <v>475</v>
      </c>
      <c r="Q8" s="11"/>
      <c r="R8" s="11"/>
    </row>
    <row r="9" spans="1:18" ht="108.75" customHeight="1">
      <c r="A9" s="16" t="s">
        <v>16</v>
      </c>
      <c r="B9" s="47" t="s">
        <v>17</v>
      </c>
      <c r="C9" s="16" t="s">
        <v>476</v>
      </c>
      <c r="D9" s="16" t="s">
        <v>477</v>
      </c>
      <c r="E9" s="16">
        <v>2024</v>
      </c>
      <c r="F9" s="366" t="s">
        <v>21</v>
      </c>
      <c r="G9" s="97" t="s">
        <v>478</v>
      </c>
      <c r="H9" s="366" t="s">
        <v>479</v>
      </c>
      <c r="I9" s="16" t="s">
        <v>20</v>
      </c>
      <c r="J9" s="400">
        <v>45386</v>
      </c>
      <c r="K9" s="21" t="s">
        <v>21</v>
      </c>
      <c r="L9" s="398" t="s">
        <v>480</v>
      </c>
      <c r="M9" s="53" t="s">
        <v>481</v>
      </c>
      <c r="N9" s="16">
        <v>38573866</v>
      </c>
      <c r="O9" s="16" t="s">
        <v>482</v>
      </c>
      <c r="P9" s="141" t="s">
        <v>483</v>
      </c>
      <c r="Q9" s="11"/>
      <c r="R9" s="11"/>
    </row>
    <row r="10" spans="1:18" s="42" customFormat="1" ht="87.6">
      <c r="A10" s="16" t="s">
        <v>16</v>
      </c>
      <c r="B10" s="402" t="s">
        <v>64</v>
      </c>
      <c r="C10" s="28" t="s">
        <v>484</v>
      </c>
      <c r="D10" s="28" t="s">
        <v>485</v>
      </c>
      <c r="E10" s="28">
        <v>2024</v>
      </c>
      <c r="F10" s="379" t="s">
        <v>21</v>
      </c>
      <c r="G10" s="379" t="s">
        <v>486</v>
      </c>
      <c r="H10" s="379"/>
      <c r="I10" s="28" t="s">
        <v>35</v>
      </c>
      <c r="J10" s="403">
        <v>45437</v>
      </c>
      <c r="K10" s="126" t="s">
        <v>21</v>
      </c>
      <c r="L10" s="28" t="s">
        <v>487</v>
      </c>
      <c r="M10" s="404" t="s">
        <v>488</v>
      </c>
      <c r="N10" s="28">
        <v>38797629</v>
      </c>
      <c r="O10" s="405" t="s">
        <v>489</v>
      </c>
      <c r="P10" s="141" t="s">
        <v>490</v>
      </c>
      <c r="Q10" s="406"/>
      <c r="R10" s="406"/>
    </row>
    <row r="11" spans="1:18" ht="32.1" customHeight="1">
      <c r="A11" s="16" t="s">
        <v>16</v>
      </c>
      <c r="B11" s="47" t="s">
        <v>491</v>
      </c>
      <c r="C11" s="16" t="s">
        <v>492</v>
      </c>
      <c r="D11" s="16" t="s">
        <v>493</v>
      </c>
      <c r="E11" s="16">
        <v>2024</v>
      </c>
      <c r="F11" s="366" t="s">
        <v>21</v>
      </c>
      <c r="G11" s="366"/>
      <c r="H11" s="366"/>
      <c r="I11" s="16" t="s">
        <v>35</v>
      </c>
      <c r="J11" s="400">
        <v>45572</v>
      </c>
      <c r="K11" s="16" t="s">
        <v>21</v>
      </c>
      <c r="L11" s="148" t="s">
        <v>494</v>
      </c>
      <c r="M11" s="55" t="s">
        <v>495</v>
      </c>
      <c r="N11" s="16">
        <v>39375497</v>
      </c>
      <c r="O11" s="47"/>
      <c r="P11" s="142" t="s">
        <v>496</v>
      </c>
      <c r="Q11" s="11"/>
      <c r="R11" s="11"/>
    </row>
    <row r="12" spans="1:18" s="43" customFormat="1" ht="75">
      <c r="A12" s="16" t="s">
        <v>16</v>
      </c>
      <c r="B12" s="47" t="s">
        <v>497</v>
      </c>
      <c r="C12" s="145" t="s">
        <v>498</v>
      </c>
      <c r="D12" s="145" t="s">
        <v>499</v>
      </c>
      <c r="E12" s="148">
        <v>2024</v>
      </c>
      <c r="F12" s="407" t="s">
        <v>21</v>
      </c>
      <c r="G12" s="366" t="s">
        <v>500</v>
      </c>
      <c r="H12" s="407" t="s">
        <v>73</v>
      </c>
      <c r="I12" s="148" t="s">
        <v>35</v>
      </c>
      <c r="J12" s="164">
        <v>45624</v>
      </c>
      <c r="K12" s="148" t="s">
        <v>21</v>
      </c>
      <c r="L12" s="148" t="s">
        <v>501</v>
      </c>
      <c r="M12" s="407" t="s">
        <v>502</v>
      </c>
      <c r="N12" s="148">
        <v>39615591</v>
      </c>
      <c r="O12" s="148" t="s">
        <v>503</v>
      </c>
      <c r="P12" s="148" t="s">
        <v>504</v>
      </c>
      <c r="Q12" s="148"/>
      <c r="R12" s="148"/>
    </row>
    <row r="13" spans="1:18" ht="50.1">
      <c r="A13" s="16" t="s">
        <v>16</v>
      </c>
      <c r="B13" s="47" t="s">
        <v>505</v>
      </c>
      <c r="C13" s="148" t="s">
        <v>506</v>
      </c>
      <c r="D13" s="145" t="s">
        <v>507</v>
      </c>
      <c r="E13" s="148">
        <v>2024</v>
      </c>
      <c r="F13" s="44" t="s">
        <v>21</v>
      </c>
      <c r="G13" s="45" t="s">
        <v>508</v>
      </c>
      <c r="H13" s="45" t="s">
        <v>509</v>
      </c>
      <c r="I13" s="148" t="s">
        <v>35</v>
      </c>
      <c r="J13" s="408">
        <v>45385</v>
      </c>
      <c r="K13" s="148" t="s">
        <v>21</v>
      </c>
      <c r="L13" s="145" t="s">
        <v>510</v>
      </c>
      <c r="M13" s="56" t="s">
        <v>511</v>
      </c>
      <c r="N13" s="16">
        <v>38286429</v>
      </c>
      <c r="O13" s="16" t="s">
        <v>512</v>
      </c>
      <c r="P13" s="142" t="s">
        <v>513</v>
      </c>
      <c r="Q13" s="11"/>
      <c r="R13" s="11"/>
    </row>
    <row r="14" spans="1:18" s="16" customFormat="1" ht="50.1">
      <c r="A14" s="16" t="s">
        <v>16</v>
      </c>
      <c r="B14" s="47" t="s">
        <v>514</v>
      </c>
      <c r="C14" s="350" t="s">
        <v>515</v>
      </c>
      <c r="D14" s="398" t="s">
        <v>516</v>
      </c>
      <c r="E14" s="16">
        <v>2025</v>
      </c>
      <c r="F14" s="16" t="s">
        <v>21</v>
      </c>
      <c r="G14" s="18" t="s">
        <v>517</v>
      </c>
      <c r="H14" s="107" t="s">
        <v>518</v>
      </c>
      <c r="I14" s="16" t="s">
        <v>35</v>
      </c>
      <c r="J14" s="17" t="s">
        <v>73</v>
      </c>
      <c r="K14" s="16" t="s">
        <v>21</v>
      </c>
      <c r="L14" s="141" t="s">
        <v>519</v>
      </c>
      <c r="M14" s="108" t="s">
        <v>520</v>
      </c>
      <c r="N14" s="25"/>
      <c r="P14" s="47" t="s">
        <v>521</v>
      </c>
    </row>
    <row r="15" spans="1:18" s="16" customFormat="1" ht="59.25" customHeight="1">
      <c r="A15" s="16" t="s">
        <v>379</v>
      </c>
      <c r="B15" s="363" t="s">
        <v>522</v>
      </c>
      <c r="C15" s="398" t="s">
        <v>523</v>
      </c>
      <c r="D15" s="398" t="s">
        <v>524</v>
      </c>
      <c r="E15" s="16">
        <v>2025</v>
      </c>
      <c r="F15" s="16" t="s">
        <v>525</v>
      </c>
      <c r="G15" s="18" t="s">
        <v>73</v>
      </c>
      <c r="H15" s="18" t="s">
        <v>73</v>
      </c>
      <c r="I15" s="16" t="s">
        <v>35</v>
      </c>
      <c r="J15" s="17" t="s">
        <v>73</v>
      </c>
      <c r="K15" s="16" t="s">
        <v>176</v>
      </c>
      <c r="N15" s="25"/>
      <c r="P15" s="47" t="s">
        <v>526</v>
      </c>
    </row>
    <row r="16" spans="1:18" s="106" customFormat="1" ht="57.95">
      <c r="A16" s="16" t="s">
        <v>16</v>
      </c>
      <c r="B16" s="47" t="s">
        <v>20</v>
      </c>
      <c r="C16" s="398" t="s">
        <v>527</v>
      </c>
      <c r="D16" s="398" t="s">
        <v>528</v>
      </c>
      <c r="E16" s="16">
        <v>2025</v>
      </c>
      <c r="F16" s="366" t="s">
        <v>21</v>
      </c>
      <c r="G16" s="366" t="s">
        <v>73</v>
      </c>
      <c r="H16" s="366" t="s">
        <v>73</v>
      </c>
      <c r="I16" s="16" t="s">
        <v>20</v>
      </c>
      <c r="J16" s="400">
        <v>45890</v>
      </c>
      <c r="K16" s="16" t="s">
        <v>21</v>
      </c>
      <c r="L16" s="221" t="s">
        <v>529</v>
      </c>
      <c r="M16" s="365"/>
      <c r="N16" s="16"/>
      <c r="O16" s="16"/>
      <c r="P16" s="16"/>
      <c r="Q16" s="11"/>
      <c r="R16" s="11"/>
    </row>
    <row r="17" spans="1:18" ht="12.75" customHeight="1">
      <c r="A17" s="11"/>
      <c r="B17" s="11"/>
      <c r="C17" s="11"/>
      <c r="D17" s="22"/>
      <c r="E17" s="10"/>
      <c r="F17" s="366"/>
      <c r="G17" s="366"/>
      <c r="H17" s="366"/>
      <c r="I17" s="11"/>
      <c r="J17" s="11"/>
      <c r="K17" s="11"/>
      <c r="L17" s="16"/>
      <c r="M17" s="365"/>
      <c r="N17" s="11"/>
      <c r="O17" s="11"/>
      <c r="P17" s="11"/>
      <c r="Q17" s="11"/>
      <c r="R17" s="11"/>
    </row>
    <row r="18" spans="1:18" ht="12.75" customHeight="1">
      <c r="A18" s="11"/>
      <c r="B18" s="11"/>
      <c r="C18" s="11"/>
      <c r="D18" s="22"/>
      <c r="E18" s="10"/>
      <c r="F18" s="366"/>
      <c r="G18" s="366"/>
      <c r="H18" s="366"/>
      <c r="I18" s="11"/>
      <c r="J18" s="11"/>
      <c r="K18" s="11"/>
      <c r="L18" s="16"/>
      <c r="M18" s="365"/>
      <c r="N18" s="11"/>
      <c r="O18" s="11"/>
      <c r="P18" s="11"/>
      <c r="Q18" s="11"/>
      <c r="R18" s="11"/>
    </row>
    <row r="19" spans="1:18" ht="12.75" customHeight="1">
      <c r="A19" s="11"/>
      <c r="B19" s="11"/>
      <c r="C19" s="11"/>
      <c r="D19" s="22"/>
      <c r="E19" s="10"/>
      <c r="F19" s="366"/>
      <c r="G19" s="366"/>
      <c r="H19" s="366"/>
      <c r="I19" s="11"/>
      <c r="J19" s="11"/>
      <c r="K19" s="11"/>
      <c r="L19" s="16"/>
      <c r="M19" s="365"/>
      <c r="N19" s="11"/>
      <c r="O19" s="11"/>
      <c r="P19" s="11"/>
      <c r="Q19" s="11"/>
      <c r="R19" s="11"/>
    </row>
    <row r="20" spans="1:18" ht="12.75" customHeight="1">
      <c r="A20" s="11"/>
      <c r="B20" s="11"/>
      <c r="C20" s="11"/>
      <c r="D20" s="22"/>
      <c r="E20" s="10"/>
      <c r="F20" s="366"/>
      <c r="G20" s="366"/>
      <c r="H20" s="366"/>
      <c r="I20" s="11"/>
      <c r="J20" s="11"/>
      <c r="K20" s="11"/>
      <c r="L20" s="16"/>
      <c r="M20" s="365"/>
      <c r="N20" s="11"/>
      <c r="O20" s="11"/>
      <c r="P20" s="11"/>
      <c r="Q20" s="11"/>
      <c r="R20" s="11"/>
    </row>
    <row r="21" spans="1:18" ht="12.75" customHeight="1">
      <c r="A21" s="11"/>
      <c r="B21" s="11"/>
      <c r="C21" s="11"/>
      <c r="D21" s="22"/>
      <c r="E21" s="10"/>
      <c r="F21" s="366"/>
      <c r="G21" s="366"/>
      <c r="H21" s="366"/>
      <c r="I21" s="11"/>
      <c r="J21" s="11"/>
      <c r="K21" s="11"/>
      <c r="L21" s="16"/>
      <c r="M21" s="365"/>
      <c r="N21" s="11"/>
      <c r="O21" s="11"/>
      <c r="P21" s="11"/>
      <c r="Q21" s="11"/>
      <c r="R21" s="11"/>
    </row>
    <row r="22" spans="1:18" ht="12.75" customHeight="1">
      <c r="A22" s="11"/>
      <c r="B22" s="11"/>
      <c r="C22" s="11"/>
      <c r="D22" s="22"/>
      <c r="E22" s="10"/>
      <c r="F22" s="366"/>
      <c r="G22" s="366"/>
      <c r="H22" s="366"/>
      <c r="I22" s="11"/>
      <c r="J22" s="11"/>
      <c r="K22" s="11"/>
      <c r="L22" s="16"/>
      <c r="M22" s="365"/>
      <c r="N22" s="11"/>
      <c r="O22" s="11"/>
      <c r="P22" s="11"/>
      <c r="Q22" s="11"/>
      <c r="R22" s="11"/>
    </row>
    <row r="23" spans="1:18" ht="12.75" customHeight="1">
      <c r="A23" s="11"/>
      <c r="B23" s="11"/>
      <c r="C23" s="11"/>
      <c r="D23" s="22"/>
      <c r="E23" s="10"/>
      <c r="F23" s="366"/>
      <c r="G23" s="366"/>
      <c r="H23" s="366"/>
      <c r="I23" s="11"/>
      <c r="J23" s="11"/>
      <c r="K23" s="11"/>
      <c r="L23" s="16"/>
      <c r="M23" s="365"/>
      <c r="N23" s="11"/>
      <c r="O23" s="11"/>
      <c r="P23" s="11"/>
      <c r="Q23" s="11"/>
      <c r="R23" s="11"/>
    </row>
    <row r="24" spans="1:18" ht="12.75" customHeight="1">
      <c r="A24" s="11"/>
      <c r="B24" s="11"/>
      <c r="C24" s="11"/>
      <c r="D24" s="22"/>
      <c r="E24" s="10"/>
      <c r="F24" s="366"/>
      <c r="G24" s="366"/>
      <c r="H24" s="366"/>
      <c r="I24" s="11"/>
      <c r="J24" s="11"/>
      <c r="K24" s="11"/>
      <c r="L24" s="16"/>
      <c r="M24" s="365"/>
      <c r="N24" s="11"/>
      <c r="O24" s="11"/>
      <c r="P24" s="11"/>
      <c r="Q24" s="11"/>
      <c r="R24" s="11"/>
    </row>
    <row r="25" spans="1:18" ht="12.75" customHeight="1">
      <c r="A25" s="11"/>
      <c r="B25" s="11"/>
      <c r="C25" s="11"/>
      <c r="D25" s="22"/>
      <c r="E25" s="10"/>
      <c r="F25" s="366"/>
      <c r="G25" s="366"/>
      <c r="H25" s="366"/>
      <c r="I25" s="11"/>
      <c r="J25" s="11"/>
      <c r="K25" s="11"/>
      <c r="L25" s="16"/>
      <c r="M25" s="365"/>
      <c r="N25" s="11"/>
      <c r="O25" s="11"/>
      <c r="P25" s="11"/>
      <c r="Q25" s="11"/>
      <c r="R25" s="11"/>
    </row>
    <row r="26" spans="1:18" ht="12.75" customHeight="1">
      <c r="A26" s="11"/>
      <c r="B26" s="11"/>
      <c r="C26" s="11"/>
      <c r="D26" s="22"/>
      <c r="E26" s="10"/>
      <c r="F26" s="366"/>
      <c r="G26" s="366"/>
      <c r="H26" s="366"/>
      <c r="I26" s="11"/>
      <c r="J26" s="11"/>
      <c r="K26" s="11"/>
      <c r="L26" s="16"/>
      <c r="M26" s="365"/>
      <c r="N26" s="11"/>
      <c r="O26" s="11"/>
      <c r="P26" s="11"/>
      <c r="Q26" s="11"/>
      <c r="R26" s="11"/>
    </row>
    <row r="27" spans="1:18" ht="12.75" customHeight="1">
      <c r="A27" s="11"/>
      <c r="B27" s="11"/>
      <c r="C27" s="11"/>
      <c r="D27" s="22"/>
      <c r="E27" s="10"/>
      <c r="F27" s="366"/>
      <c r="G27" s="366"/>
      <c r="H27" s="366"/>
      <c r="I27" s="11"/>
      <c r="J27" s="11"/>
      <c r="K27" s="11"/>
      <c r="L27" s="16"/>
      <c r="M27" s="365"/>
      <c r="N27" s="11"/>
      <c r="O27" s="11"/>
      <c r="P27" s="11"/>
      <c r="Q27" s="11"/>
      <c r="R27" s="11"/>
    </row>
    <row r="28" spans="1:18" ht="12.75" customHeight="1">
      <c r="A28" s="11"/>
      <c r="B28" s="11"/>
      <c r="C28" s="11"/>
      <c r="D28" s="22"/>
      <c r="E28" s="10"/>
      <c r="F28" s="366"/>
      <c r="G28" s="366"/>
      <c r="H28" s="366"/>
      <c r="I28" s="11"/>
      <c r="J28" s="11"/>
      <c r="K28" s="11"/>
      <c r="L28" s="16"/>
      <c r="M28" s="365"/>
      <c r="N28" s="11"/>
      <c r="O28" s="11"/>
      <c r="P28" s="11"/>
      <c r="Q28" s="11"/>
      <c r="R28" s="11"/>
    </row>
    <row r="29" spans="1:18" ht="12.75" customHeight="1">
      <c r="A29" s="11"/>
      <c r="B29" s="11"/>
      <c r="C29" s="11"/>
      <c r="D29" s="22"/>
      <c r="E29" s="10"/>
      <c r="F29" s="366"/>
      <c r="G29" s="366"/>
      <c r="H29" s="366"/>
      <c r="I29" s="11"/>
      <c r="J29" s="11"/>
      <c r="K29" s="11"/>
      <c r="L29" s="16"/>
      <c r="M29" s="365"/>
      <c r="N29" s="11"/>
      <c r="O29" s="11"/>
      <c r="P29" s="11"/>
      <c r="Q29" s="11"/>
      <c r="R29" s="11"/>
    </row>
    <row r="30" spans="1:18" ht="12.75" customHeight="1">
      <c r="A30" s="11"/>
      <c r="B30" s="11"/>
      <c r="C30" s="11"/>
      <c r="D30" s="22"/>
      <c r="E30" s="10"/>
      <c r="F30" s="366"/>
      <c r="G30" s="366"/>
      <c r="H30" s="366"/>
      <c r="I30" s="11"/>
      <c r="J30" s="11"/>
      <c r="K30" s="11"/>
      <c r="L30" s="16"/>
      <c r="M30" s="365"/>
      <c r="N30" s="11"/>
      <c r="O30" s="11"/>
      <c r="P30" s="11"/>
      <c r="Q30" s="11"/>
      <c r="R30" s="11"/>
    </row>
  </sheetData>
  <autoFilter ref="A1:P16" xr:uid="{00000000-0001-0000-0200-000000000000}"/>
  <sortState xmlns:xlrd2="http://schemas.microsoft.com/office/spreadsheetml/2017/richdata2" ref="C2:I9">
    <sortCondition ref="C2:C9"/>
  </sortState>
  <dataValidations count="1">
    <dataValidation type="list" allowBlank="1" showInputMessage="1" showErrorMessage="1" sqref="F12:F13 K12:K13 P13" xr:uid="{5E24C2B9-D059-47F2-8026-5B8CCA7F7B28}">
      <formula1>"Yes, No"</formula1>
    </dataValidation>
  </dataValidations>
  <hyperlinks>
    <hyperlink ref="M14" r:id="rId1" xr:uid="{4E5213E0-AD0F-4561-9407-F393D945F773}"/>
    <hyperlink ref="P6" r:id="rId2" display="https://www.sciencedirect.com/science/article/pii/S0264410X2301438X" xr:uid="{1F027953-F3B6-4D51-A581-7A0D3EBD48BA}"/>
    <hyperlink ref="P7" r:id="rId3" display="https://pubmed.ncbi.nlm.nih.gov/38302337/" xr:uid="{A9C47D92-D4E3-4BA1-952D-D1CC4601E1C1}"/>
    <hyperlink ref="P8" r:id="rId4" display="https://www.sciencedirect.com/science/article/pii/S0264410X24002718" xr:uid="{5C9A0A64-E959-4DB9-98CD-95C2BA0DB2DD}"/>
    <hyperlink ref="P9" r:id="rId5" display="https://www.cdc.gov/mmwr/volumes/73/wr/mm7313a2.htm" xr:uid="{8157BC33-A735-4C44-97B2-325A0E72282D}"/>
    <hyperlink ref="P10" r:id="rId6" location=":~:text=Objective:%20Assess%20how%20the%20COVID-19" display="https://pubmed.ncbi.nlm.nih.gov/38797629/ - :~:text=Objective:%20Assess%20how%20the%20COVID-19" xr:uid="{C9727234-00CD-4744-B352-0F1BA8FA24BE}"/>
    <hyperlink ref="P11" r:id="rId7" xr:uid="{6A3C0CFA-0798-4535-A263-B03547CC3A69}"/>
    <hyperlink ref="P13" r:id="rId8" location="info" xr:uid="{60EAD871-1337-4882-8456-BE887E8A8025}"/>
    <hyperlink ref="L14" r:id="rId9" xr:uid="{99180BCD-71E0-457D-9177-CEDE85627C17}"/>
    <hyperlink ref="L6" r:id="rId10" display="https://doi.org/10.1016/j.vaccine.2023.12.005" xr:uid="{0C44ECBD-A9DA-484D-8AE2-2AFE8448C45C}"/>
    <hyperlink ref="L16" r:id="rId11" xr:uid="{363EBD91-6657-43CB-835F-93DCECD24A8E}"/>
  </hyperlinks>
  <pageMargins left="0.7" right="0.7" top="0.75" bottom="0.75" header="0.3" footer="0.3"/>
  <pageSetup orientation="portrait" r:id="rId12"/>
  <extLst>
    <ext xmlns:x14="http://schemas.microsoft.com/office/spreadsheetml/2009/9/main" uri="{CCE6A557-97BC-4b89-ADB6-D9C93CAAB3DF}">
      <x14:dataValidations xmlns:xm="http://schemas.microsoft.com/office/excel/2006/main" count="2">
        <x14:dataValidation type="list" allowBlank="1" showInputMessage="1" showErrorMessage="1" xr:uid="{4ED86711-26E3-43C4-B9DC-91E3D95DF911}">
          <x14:formula1>
            <xm:f>#REF!</xm:f>
          </x14:formula1>
          <xm:sqref>A2:A523</xm:sqref>
        </x14:dataValidation>
        <x14:dataValidation type="list" allowBlank="1" showInputMessage="1" showErrorMessage="1" xr:uid="{34751033-E495-4DB6-BCB4-A49038A23AF8}">
          <x14:formula1>
            <xm:f>#REF!</xm:f>
          </x14:formula1>
          <xm:sqref>I2:I914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Y116"/>
  <sheetViews>
    <sheetView zoomScale="95" zoomScaleNormal="80" workbookViewId="0">
      <pane ySplit="1" topLeftCell="A110" activePane="bottomLeft" state="frozen"/>
      <selection pane="bottomLeft" activeCell="B113" sqref="B113"/>
    </sheetView>
  </sheetViews>
  <sheetFormatPr defaultColWidth="9.140625" defaultRowHeight="63" customHeight="1"/>
  <cols>
    <col min="1" max="1" width="20.85546875" style="57" customWidth="1"/>
    <col min="2" max="2" width="31" style="151" customWidth="1"/>
    <col min="3" max="3" width="71.5703125" style="9" customWidth="1"/>
    <col min="4" max="4" width="56.42578125" style="9" customWidth="1"/>
    <col min="5" max="5" width="12" style="16" customWidth="1"/>
    <col min="6" max="6" width="10.42578125" style="16" hidden="1" customWidth="1"/>
    <col min="7" max="7" width="7.5703125" style="16" hidden="1" customWidth="1"/>
    <col min="8" max="8" width="7.5703125" style="18" hidden="1" customWidth="1"/>
    <col min="9" max="9" width="18.28515625" style="16" customWidth="1"/>
    <col min="10" max="10" width="15.28515625" style="17" hidden="1" customWidth="1"/>
    <col min="11" max="11" width="16.5703125" style="16" customWidth="1"/>
    <col min="12" max="12" width="17" style="16" hidden="1" customWidth="1"/>
    <col min="13" max="13" width="30.42578125" style="16" customWidth="1"/>
    <col min="14" max="14" width="18.7109375" style="16" customWidth="1"/>
    <col min="15" max="15" width="25.42578125" style="16" customWidth="1"/>
    <col min="16" max="16" width="24.42578125" style="16" customWidth="1"/>
    <col min="17" max="16384" width="9.140625" style="16"/>
  </cols>
  <sheetData>
    <row r="1" spans="1:17" s="3" customFormat="1" ht="59.25" customHeight="1">
      <c r="A1" s="50" t="s">
        <v>0</v>
      </c>
      <c r="B1" s="101" t="s">
        <v>434</v>
      </c>
      <c r="C1" s="32" t="s">
        <v>2</v>
      </c>
      <c r="D1" s="7" t="s">
        <v>3</v>
      </c>
      <c r="E1" s="3" t="s">
        <v>4</v>
      </c>
      <c r="F1" s="3" t="s">
        <v>5</v>
      </c>
      <c r="G1" s="3" t="s">
        <v>6</v>
      </c>
      <c r="H1" s="23" t="s">
        <v>7</v>
      </c>
      <c r="I1" s="3" t="s">
        <v>8</v>
      </c>
      <c r="J1" s="5" t="s">
        <v>9</v>
      </c>
      <c r="K1" s="3" t="s">
        <v>10</v>
      </c>
      <c r="L1" s="3" t="s">
        <v>530</v>
      </c>
      <c r="M1" s="3" t="s">
        <v>11</v>
      </c>
      <c r="N1" s="3" t="s">
        <v>13</v>
      </c>
      <c r="O1" s="3" t="s">
        <v>14</v>
      </c>
      <c r="P1" s="3" t="s">
        <v>15</v>
      </c>
    </row>
    <row r="2" spans="1:17" ht="63" customHeight="1">
      <c r="A2" s="9" t="s">
        <v>16</v>
      </c>
      <c r="B2" s="409" t="s">
        <v>531</v>
      </c>
      <c r="C2" s="9" t="s">
        <v>532</v>
      </c>
      <c r="D2" s="9" t="s">
        <v>533</v>
      </c>
      <c r="E2" s="16">
        <v>2023</v>
      </c>
      <c r="F2" s="9" t="s">
        <v>21</v>
      </c>
      <c r="G2" s="9">
        <v>20</v>
      </c>
      <c r="H2" s="410"/>
      <c r="I2" s="9" t="s">
        <v>45</v>
      </c>
      <c r="J2" s="17">
        <v>44966</v>
      </c>
      <c r="K2" s="9" t="s">
        <v>21</v>
      </c>
      <c r="L2" s="9"/>
      <c r="M2" s="9" t="s">
        <v>534</v>
      </c>
      <c r="N2" s="16">
        <v>36757854</v>
      </c>
      <c r="O2" s="16" t="s">
        <v>535</v>
      </c>
      <c r="P2" s="9"/>
      <c r="Q2" s="9"/>
    </row>
    <row r="3" spans="1:17" ht="63" customHeight="1">
      <c r="A3" s="9" t="s">
        <v>16</v>
      </c>
      <c r="B3" s="105" t="s">
        <v>536</v>
      </c>
      <c r="C3" s="9" t="s">
        <v>537</v>
      </c>
      <c r="D3" s="9" t="s">
        <v>538</v>
      </c>
      <c r="E3" s="16">
        <v>2023</v>
      </c>
      <c r="F3" s="9" t="s">
        <v>21</v>
      </c>
      <c r="G3" s="9" t="s">
        <v>539</v>
      </c>
      <c r="H3" s="410"/>
      <c r="I3" s="9" t="s">
        <v>45</v>
      </c>
      <c r="J3" s="17">
        <v>44956</v>
      </c>
      <c r="K3" s="9" t="s">
        <v>21</v>
      </c>
      <c r="L3" s="9"/>
      <c r="M3" s="9" t="s">
        <v>540</v>
      </c>
      <c r="N3" s="16">
        <v>36716030</v>
      </c>
      <c r="O3" s="16" t="s">
        <v>541</v>
      </c>
      <c r="P3" s="9"/>
      <c r="Q3" s="9"/>
    </row>
    <row r="4" spans="1:17" ht="63" customHeight="1">
      <c r="A4" s="9" t="s">
        <v>16</v>
      </c>
      <c r="B4" s="105" t="s">
        <v>542</v>
      </c>
      <c r="C4" s="9" t="s">
        <v>543</v>
      </c>
      <c r="D4" s="9" t="s">
        <v>544</v>
      </c>
      <c r="E4" s="16">
        <v>2023</v>
      </c>
      <c r="F4" s="9"/>
      <c r="G4" s="9"/>
      <c r="H4" s="410"/>
      <c r="I4" s="105"/>
      <c r="J4" s="17">
        <v>44943</v>
      </c>
      <c r="K4" s="9" t="s">
        <v>21</v>
      </c>
      <c r="L4" s="9" t="s">
        <v>545</v>
      </c>
      <c r="M4" s="9" t="s">
        <v>546</v>
      </c>
      <c r="N4" s="16">
        <v>36669521</v>
      </c>
      <c r="O4" s="16" t="s">
        <v>547</v>
      </c>
      <c r="P4" s="9"/>
      <c r="Q4" s="9"/>
    </row>
    <row r="5" spans="1:17" ht="63" customHeight="1">
      <c r="A5" s="9" t="s">
        <v>16</v>
      </c>
      <c r="B5" s="409" t="s">
        <v>92</v>
      </c>
      <c r="C5" s="9" t="s">
        <v>548</v>
      </c>
      <c r="D5" s="9" t="s">
        <v>549</v>
      </c>
      <c r="E5" s="16">
        <v>2023</v>
      </c>
      <c r="F5" s="9"/>
      <c r="G5" s="9"/>
      <c r="H5" s="410"/>
      <c r="I5" s="9" t="s">
        <v>45</v>
      </c>
      <c r="J5" s="17">
        <v>44956</v>
      </c>
      <c r="K5" s="9" t="s">
        <v>21</v>
      </c>
      <c r="L5" s="9"/>
      <c r="M5" s="9" t="s">
        <v>550</v>
      </c>
      <c r="N5" s="16">
        <v>37789941</v>
      </c>
      <c r="O5" s="16" t="s">
        <v>551</v>
      </c>
      <c r="P5" s="9" t="s">
        <v>552</v>
      </c>
      <c r="Q5" s="9"/>
    </row>
    <row r="6" spans="1:17" ht="63" customHeight="1">
      <c r="A6" s="9" t="s">
        <v>16</v>
      </c>
      <c r="B6" s="409" t="s">
        <v>553</v>
      </c>
      <c r="C6" s="9" t="s">
        <v>554</v>
      </c>
      <c r="D6" s="9" t="s">
        <v>555</v>
      </c>
      <c r="E6" s="16">
        <v>2023</v>
      </c>
      <c r="F6" s="9"/>
      <c r="G6" s="9"/>
      <c r="H6" s="410"/>
      <c r="I6" s="9" t="s">
        <v>45</v>
      </c>
      <c r="J6" s="17">
        <v>45047</v>
      </c>
      <c r="K6" s="9" t="s">
        <v>21</v>
      </c>
      <c r="L6" s="9"/>
      <c r="M6" s="9" t="s">
        <v>556</v>
      </c>
      <c r="N6" s="16">
        <v>36609120</v>
      </c>
      <c r="O6" s="16" t="s">
        <v>557</v>
      </c>
      <c r="P6" s="9"/>
      <c r="Q6" s="9"/>
    </row>
    <row r="7" spans="1:17" ht="63" customHeight="1">
      <c r="A7" s="9" t="s">
        <v>16</v>
      </c>
      <c r="B7" s="105" t="s">
        <v>20</v>
      </c>
      <c r="C7" s="9" t="s">
        <v>558</v>
      </c>
      <c r="D7" s="9" t="s">
        <v>559</v>
      </c>
      <c r="E7" s="16">
        <v>2023</v>
      </c>
      <c r="F7" s="9"/>
      <c r="G7" s="9"/>
      <c r="H7" s="410"/>
      <c r="I7" s="9" t="s">
        <v>20</v>
      </c>
      <c r="J7" s="17">
        <v>45002</v>
      </c>
      <c r="K7" s="9" t="s">
        <v>21</v>
      </c>
      <c r="L7" s="9"/>
      <c r="M7" s="9" t="s">
        <v>560</v>
      </c>
      <c r="N7" s="16">
        <v>36928607</v>
      </c>
      <c r="O7" s="16" t="s">
        <v>561</v>
      </c>
      <c r="P7" s="9"/>
      <c r="Q7" s="9"/>
    </row>
    <row r="8" spans="1:17" ht="63" customHeight="1">
      <c r="A8" s="9" t="s">
        <v>16</v>
      </c>
      <c r="B8" s="409" t="s">
        <v>562</v>
      </c>
      <c r="C8" s="411" t="s">
        <v>563</v>
      </c>
      <c r="D8" s="9" t="s">
        <v>564</v>
      </c>
      <c r="E8" s="16">
        <v>2023</v>
      </c>
      <c r="F8" s="9"/>
      <c r="G8" s="9"/>
      <c r="H8" s="410"/>
      <c r="I8" s="9" t="s">
        <v>45</v>
      </c>
      <c r="J8" s="17">
        <v>44943</v>
      </c>
      <c r="K8" s="9" t="s">
        <v>21</v>
      </c>
      <c r="L8" s="9"/>
      <c r="M8" s="9" t="s">
        <v>565</v>
      </c>
      <c r="N8" s="16">
        <v>36728080</v>
      </c>
      <c r="O8" s="16" t="s">
        <v>566</v>
      </c>
      <c r="P8" s="9"/>
      <c r="Q8" s="9"/>
    </row>
    <row r="9" spans="1:17" ht="63" customHeight="1">
      <c r="A9" s="9" t="s">
        <v>16</v>
      </c>
      <c r="B9" s="412" t="s">
        <v>567</v>
      </c>
      <c r="C9" s="413" t="s">
        <v>568</v>
      </c>
      <c r="D9" s="414" t="s">
        <v>569</v>
      </c>
      <c r="E9" s="21">
        <v>2023</v>
      </c>
      <c r="F9" s="414" t="s">
        <v>21</v>
      </c>
      <c r="G9" s="414" t="s">
        <v>570</v>
      </c>
      <c r="H9" s="414" t="s">
        <v>571</v>
      </c>
      <c r="I9" s="414" t="s">
        <v>45</v>
      </c>
      <c r="J9" s="396">
        <v>44958</v>
      </c>
      <c r="K9" s="414" t="s">
        <v>21</v>
      </c>
      <c r="L9" s="414"/>
      <c r="M9" s="9" t="s">
        <v>572</v>
      </c>
      <c r="N9" s="16">
        <v>36243666</v>
      </c>
      <c r="O9" s="16" t="s">
        <v>573</v>
      </c>
      <c r="P9" s="9"/>
      <c r="Q9" s="9"/>
    </row>
    <row r="10" spans="1:17" ht="63" customHeight="1">
      <c r="A10" s="9" t="s">
        <v>16</v>
      </c>
      <c r="B10" s="105" t="s">
        <v>574</v>
      </c>
      <c r="C10" s="9" t="s">
        <v>575</v>
      </c>
      <c r="D10" s="9" t="s">
        <v>576</v>
      </c>
      <c r="E10" s="16">
        <v>2023</v>
      </c>
      <c r="F10" s="9" t="s">
        <v>21</v>
      </c>
      <c r="G10" s="9" t="s">
        <v>577</v>
      </c>
      <c r="H10" s="410" t="s">
        <v>578</v>
      </c>
      <c r="I10" s="414" t="s">
        <v>45</v>
      </c>
      <c r="J10" s="17" t="s">
        <v>579</v>
      </c>
      <c r="K10" s="9" t="s">
        <v>21</v>
      </c>
      <c r="L10" s="9"/>
      <c r="M10" s="9" t="s">
        <v>580</v>
      </c>
      <c r="N10" s="16">
        <v>36919846</v>
      </c>
      <c r="O10" s="16" t="s">
        <v>581</v>
      </c>
      <c r="P10" s="9" t="s">
        <v>582</v>
      </c>
      <c r="Q10" s="9"/>
    </row>
    <row r="11" spans="1:17" ht="63" customHeight="1">
      <c r="A11" s="9" t="s">
        <v>16</v>
      </c>
      <c r="B11" s="105" t="s">
        <v>583</v>
      </c>
      <c r="C11" s="153" t="s">
        <v>584</v>
      </c>
      <c r="D11" s="153" t="s">
        <v>585</v>
      </c>
      <c r="E11" s="16">
        <v>2023</v>
      </c>
      <c r="F11" s="9" t="s">
        <v>176</v>
      </c>
      <c r="G11" s="9" t="s">
        <v>586</v>
      </c>
      <c r="H11" s="410"/>
      <c r="I11" s="414" t="s">
        <v>45</v>
      </c>
      <c r="J11" s="17">
        <v>44977</v>
      </c>
      <c r="K11" s="9" t="s">
        <v>21</v>
      </c>
      <c r="L11" s="9"/>
      <c r="M11" s="9" t="s">
        <v>587</v>
      </c>
      <c r="N11" s="16">
        <v>37012998</v>
      </c>
      <c r="O11" s="16" t="s">
        <v>588</v>
      </c>
      <c r="P11" s="9"/>
      <c r="Q11" s="9"/>
    </row>
    <row r="12" spans="1:17" ht="63" customHeight="1">
      <c r="A12" s="9" t="s">
        <v>16</v>
      </c>
      <c r="B12" s="105" t="s">
        <v>64</v>
      </c>
      <c r="C12" s="9" t="s">
        <v>589</v>
      </c>
      <c r="D12" s="9" t="s">
        <v>590</v>
      </c>
      <c r="E12" s="16">
        <v>2023</v>
      </c>
      <c r="F12" s="9" t="s">
        <v>176</v>
      </c>
      <c r="G12" s="9" t="s">
        <v>73</v>
      </c>
      <c r="H12" s="410" t="s">
        <v>73</v>
      </c>
      <c r="I12" s="414" t="s">
        <v>45</v>
      </c>
      <c r="J12" s="17">
        <v>45048</v>
      </c>
      <c r="K12" s="9" t="s">
        <v>21</v>
      </c>
      <c r="L12" s="9"/>
      <c r="M12" s="9" t="s">
        <v>591</v>
      </c>
      <c r="N12" s="16">
        <v>37012118</v>
      </c>
      <c r="O12" s="16" t="s">
        <v>592</v>
      </c>
      <c r="P12" s="9" t="s">
        <v>593</v>
      </c>
      <c r="Q12" s="9"/>
    </row>
    <row r="13" spans="1:17" ht="63" customHeight="1">
      <c r="A13" s="9" t="s">
        <v>16</v>
      </c>
      <c r="B13" s="409" t="s">
        <v>64</v>
      </c>
      <c r="C13" s="9" t="s">
        <v>594</v>
      </c>
      <c r="D13" s="9" t="s">
        <v>595</v>
      </c>
      <c r="E13" s="16">
        <v>2023</v>
      </c>
      <c r="F13" s="9" t="s">
        <v>215</v>
      </c>
      <c r="G13" s="9"/>
      <c r="H13" s="410"/>
      <c r="I13" s="414" t="s">
        <v>45</v>
      </c>
      <c r="J13" s="17">
        <v>45033</v>
      </c>
      <c r="K13" s="9" t="s">
        <v>21</v>
      </c>
      <c r="L13" s="9"/>
      <c r="M13" s="9" t="s">
        <v>596</v>
      </c>
      <c r="N13" s="16">
        <v>36990828</v>
      </c>
      <c r="O13" s="16" t="s">
        <v>597</v>
      </c>
      <c r="P13" s="9"/>
      <c r="Q13" s="9"/>
    </row>
    <row r="14" spans="1:17" ht="63" customHeight="1">
      <c r="A14" s="9" t="s">
        <v>16</v>
      </c>
      <c r="B14" s="105" t="s">
        <v>583</v>
      </c>
      <c r="C14" s="9" t="s">
        <v>598</v>
      </c>
      <c r="D14" s="9" t="s">
        <v>599</v>
      </c>
      <c r="E14" s="16">
        <v>2023</v>
      </c>
      <c r="F14" s="9" t="s">
        <v>176</v>
      </c>
      <c r="G14" s="9" t="s">
        <v>73</v>
      </c>
      <c r="H14" s="410" t="s">
        <v>73</v>
      </c>
      <c r="I14" s="414" t="s">
        <v>45</v>
      </c>
      <c r="J14" s="17">
        <v>45078</v>
      </c>
      <c r="K14" s="9" t="s">
        <v>21</v>
      </c>
      <c r="L14" s="9"/>
      <c r="M14" s="9" t="s">
        <v>600</v>
      </c>
      <c r="N14" s="16">
        <v>37261891</v>
      </c>
      <c r="O14" s="16" t="s">
        <v>601</v>
      </c>
      <c r="P14" s="9" t="s">
        <v>602</v>
      </c>
      <c r="Q14" s="9"/>
    </row>
    <row r="15" spans="1:17" ht="63" customHeight="1">
      <c r="A15" s="9" t="s">
        <v>16</v>
      </c>
      <c r="B15" s="105" t="s">
        <v>20</v>
      </c>
      <c r="C15" s="9" t="s">
        <v>603</v>
      </c>
      <c r="D15" s="9" t="s">
        <v>604</v>
      </c>
      <c r="E15" s="16">
        <v>2023</v>
      </c>
      <c r="F15" s="9" t="s">
        <v>21</v>
      </c>
      <c r="G15" s="9" t="s">
        <v>605</v>
      </c>
      <c r="H15" s="410" t="s">
        <v>606</v>
      </c>
      <c r="I15" s="9"/>
      <c r="J15" s="17">
        <v>45030</v>
      </c>
      <c r="K15" s="9" t="s">
        <v>21</v>
      </c>
      <c r="L15" s="9"/>
      <c r="M15" s="9" t="s">
        <v>607</v>
      </c>
      <c r="N15" s="16">
        <v>37053126</v>
      </c>
      <c r="O15" s="16" t="s">
        <v>608</v>
      </c>
      <c r="P15" s="9"/>
      <c r="Q15" s="9"/>
    </row>
    <row r="16" spans="1:17" ht="63" customHeight="1">
      <c r="A16" s="9" t="s">
        <v>16</v>
      </c>
      <c r="B16" s="105" t="s">
        <v>609</v>
      </c>
      <c r="C16" s="9" t="s">
        <v>610</v>
      </c>
      <c r="D16" s="9" t="s">
        <v>611</v>
      </c>
      <c r="E16" s="16">
        <v>2023</v>
      </c>
      <c r="F16" s="9" t="s">
        <v>21</v>
      </c>
      <c r="G16" s="9">
        <v>14</v>
      </c>
      <c r="H16" s="410" t="s">
        <v>612</v>
      </c>
      <c r="I16" s="9" t="s">
        <v>45</v>
      </c>
      <c r="J16" s="17" t="s">
        <v>398</v>
      </c>
      <c r="K16" s="9" t="s">
        <v>21</v>
      </c>
      <c r="L16" s="9"/>
      <c r="M16" s="9" t="s">
        <v>613</v>
      </c>
      <c r="N16" s="16">
        <v>37577260</v>
      </c>
      <c r="O16" s="16" t="s">
        <v>614</v>
      </c>
      <c r="P16" s="9" t="s">
        <v>615</v>
      </c>
      <c r="Q16" s="9"/>
    </row>
    <row r="17" spans="1:18" ht="63" customHeight="1">
      <c r="A17" s="9" t="s">
        <v>16</v>
      </c>
      <c r="B17" s="105" t="s">
        <v>616</v>
      </c>
      <c r="C17" s="9" t="s">
        <v>617</v>
      </c>
      <c r="D17" s="9" t="s">
        <v>618</v>
      </c>
      <c r="E17" s="16">
        <v>2023</v>
      </c>
      <c r="F17" s="9" t="s">
        <v>21</v>
      </c>
      <c r="G17" s="9" t="s">
        <v>73</v>
      </c>
      <c r="H17" s="410" t="s">
        <v>73</v>
      </c>
      <c r="I17" s="9" t="s">
        <v>45</v>
      </c>
      <c r="J17" s="17" t="s">
        <v>619</v>
      </c>
      <c r="K17" s="9" t="s">
        <v>21</v>
      </c>
      <c r="L17" s="9"/>
      <c r="M17" s="9" t="s">
        <v>620</v>
      </c>
      <c r="N17" s="16">
        <v>37525454</v>
      </c>
      <c r="O17" s="16" t="s">
        <v>621</v>
      </c>
      <c r="P17" s="9" t="s">
        <v>622</v>
      </c>
      <c r="Q17" s="9"/>
    </row>
    <row r="18" spans="1:18" ht="63" customHeight="1">
      <c r="A18" s="9" t="s">
        <v>16</v>
      </c>
      <c r="B18" s="409" t="s">
        <v>623</v>
      </c>
      <c r="C18" s="9" t="s">
        <v>624</v>
      </c>
      <c r="D18" s="9" t="s">
        <v>625</v>
      </c>
      <c r="E18" s="16">
        <v>2023</v>
      </c>
      <c r="F18" s="9" t="s">
        <v>176</v>
      </c>
      <c r="G18" s="9"/>
      <c r="H18" s="410"/>
      <c r="I18" s="9" t="s">
        <v>35</v>
      </c>
      <c r="J18" s="17" t="s">
        <v>626</v>
      </c>
      <c r="K18" s="9" t="s">
        <v>21</v>
      </c>
      <c r="L18" s="9"/>
      <c r="M18" s="9" t="s">
        <v>627</v>
      </c>
      <c r="N18" s="16">
        <v>37395695</v>
      </c>
      <c r="O18" s="16" t="s">
        <v>628</v>
      </c>
      <c r="P18" s="9"/>
      <c r="Q18" s="9"/>
    </row>
    <row r="19" spans="1:18" ht="63" customHeight="1">
      <c r="A19" s="9" t="s">
        <v>16</v>
      </c>
      <c r="B19" s="105" t="s">
        <v>629</v>
      </c>
      <c r="C19" s="9" t="s">
        <v>630</v>
      </c>
      <c r="D19" s="9" t="s">
        <v>631</v>
      </c>
      <c r="E19" s="16">
        <v>2023</v>
      </c>
      <c r="F19" s="9" t="s">
        <v>21</v>
      </c>
      <c r="G19" s="9" t="s">
        <v>632</v>
      </c>
      <c r="H19" s="410" t="s">
        <v>633</v>
      </c>
      <c r="I19" s="9" t="s">
        <v>20</v>
      </c>
      <c r="J19" s="17">
        <v>45177</v>
      </c>
      <c r="K19" s="9" t="s">
        <v>21</v>
      </c>
      <c r="L19" s="9"/>
      <c r="M19" s="9" t="s">
        <v>634</v>
      </c>
      <c r="N19" s="16">
        <v>37669242</v>
      </c>
      <c r="O19" s="16" t="s">
        <v>635</v>
      </c>
      <c r="P19" s="9"/>
      <c r="Q19" s="9"/>
    </row>
    <row r="20" spans="1:18" ht="63" customHeight="1">
      <c r="A20" s="9" t="s">
        <v>16</v>
      </c>
      <c r="B20" s="409" t="s">
        <v>17</v>
      </c>
      <c r="C20" s="9" t="s">
        <v>636</v>
      </c>
      <c r="D20" s="9" t="s">
        <v>637</v>
      </c>
      <c r="E20" s="16">
        <v>2023</v>
      </c>
      <c r="F20" s="9" t="s">
        <v>21</v>
      </c>
      <c r="G20" s="9" t="s">
        <v>638</v>
      </c>
      <c r="H20" s="9" t="s">
        <v>222</v>
      </c>
      <c r="I20" s="9" t="s">
        <v>20</v>
      </c>
      <c r="J20" s="17">
        <v>45177</v>
      </c>
      <c r="K20" s="9" t="s">
        <v>21</v>
      </c>
      <c r="L20" s="9"/>
      <c r="M20" s="9" t="s">
        <v>639</v>
      </c>
      <c r="N20" s="16" t="s">
        <v>640</v>
      </c>
      <c r="O20" s="16" t="s">
        <v>641</v>
      </c>
      <c r="P20" s="9"/>
      <c r="Q20" s="9"/>
    </row>
    <row r="21" spans="1:18" ht="63" customHeight="1">
      <c r="A21" s="9" t="s">
        <v>16</v>
      </c>
      <c r="B21" s="105" t="s">
        <v>642</v>
      </c>
      <c r="C21" s="414" t="s">
        <v>643</v>
      </c>
      <c r="D21" s="9" t="s">
        <v>644</v>
      </c>
      <c r="E21" s="16">
        <v>2023</v>
      </c>
      <c r="F21" s="9" t="s">
        <v>21</v>
      </c>
      <c r="G21" s="9" t="s">
        <v>645</v>
      </c>
      <c r="H21" s="410"/>
      <c r="I21" s="9" t="s">
        <v>35</v>
      </c>
      <c r="J21" s="17">
        <v>45232</v>
      </c>
      <c r="K21" s="9" t="s">
        <v>21</v>
      </c>
      <c r="L21" s="9"/>
      <c r="M21" s="9" t="s">
        <v>646</v>
      </c>
      <c r="N21" s="16">
        <v>37936576</v>
      </c>
      <c r="O21" s="16" t="s">
        <v>647</v>
      </c>
      <c r="P21" s="9"/>
      <c r="Q21" s="9"/>
    </row>
    <row r="22" spans="1:18" ht="63" customHeight="1">
      <c r="A22" s="9" t="s">
        <v>16</v>
      </c>
      <c r="B22" s="409" t="s">
        <v>17</v>
      </c>
      <c r="C22" s="9" t="s">
        <v>648</v>
      </c>
      <c r="D22" s="9" t="s">
        <v>649</v>
      </c>
      <c r="E22" s="16">
        <v>2023</v>
      </c>
      <c r="F22" s="9" t="s">
        <v>21</v>
      </c>
      <c r="G22" s="9" t="s">
        <v>650</v>
      </c>
      <c r="H22" s="410" t="s">
        <v>651</v>
      </c>
      <c r="I22" s="9" t="s">
        <v>20</v>
      </c>
      <c r="J22" s="17">
        <v>45240</v>
      </c>
      <c r="K22" s="9" t="s">
        <v>21</v>
      </c>
      <c r="L22" s="9"/>
      <c r="M22" s="9" t="s">
        <v>652</v>
      </c>
      <c r="N22" s="16">
        <v>37943698</v>
      </c>
      <c r="O22" s="16" t="s">
        <v>653</v>
      </c>
      <c r="P22" s="9"/>
      <c r="Q22" s="9"/>
    </row>
    <row r="23" spans="1:18" ht="63" customHeight="1">
      <c r="A23" s="9" t="s">
        <v>16</v>
      </c>
      <c r="B23" s="409" t="s">
        <v>17</v>
      </c>
      <c r="C23" s="9" t="s">
        <v>654</v>
      </c>
      <c r="D23" s="9" t="s">
        <v>655</v>
      </c>
      <c r="E23" s="16">
        <v>2023</v>
      </c>
      <c r="F23" s="9" t="s">
        <v>21</v>
      </c>
      <c r="G23" s="9" t="s">
        <v>650</v>
      </c>
      <c r="H23" s="410" t="s">
        <v>656</v>
      </c>
      <c r="I23" s="9" t="s">
        <v>20</v>
      </c>
      <c r="J23" s="17">
        <v>45240</v>
      </c>
      <c r="K23" s="9" t="s">
        <v>21</v>
      </c>
      <c r="L23" s="9"/>
      <c r="M23" s="9" t="s">
        <v>657</v>
      </c>
      <c r="N23" s="16">
        <v>37943704</v>
      </c>
      <c r="O23" s="16" t="s">
        <v>658</v>
      </c>
      <c r="P23" s="9"/>
      <c r="Q23" s="9"/>
    </row>
    <row r="24" spans="1:18" ht="63" customHeight="1">
      <c r="A24" s="9" t="s">
        <v>16</v>
      </c>
      <c r="B24" s="409" t="s">
        <v>17</v>
      </c>
      <c r="C24" s="9" t="s">
        <v>659</v>
      </c>
      <c r="D24" s="9" t="s">
        <v>660</v>
      </c>
      <c r="E24" s="16">
        <v>2023</v>
      </c>
      <c r="F24" s="9" t="s">
        <v>21</v>
      </c>
      <c r="G24" s="9" t="s">
        <v>661</v>
      </c>
      <c r="H24" s="410" t="s">
        <v>662</v>
      </c>
      <c r="I24" s="9" t="s">
        <v>20</v>
      </c>
      <c r="J24" s="17">
        <v>45282</v>
      </c>
      <c r="K24" s="9" t="s">
        <v>21</v>
      </c>
      <c r="L24" s="9"/>
      <c r="M24" s="9" t="s">
        <v>663</v>
      </c>
      <c r="N24" s="16">
        <v>38127673</v>
      </c>
      <c r="O24" s="16" t="s">
        <v>664</v>
      </c>
      <c r="P24" s="9"/>
      <c r="Q24" s="9"/>
    </row>
    <row r="25" spans="1:18" ht="63" customHeight="1">
      <c r="A25" s="9" t="s">
        <v>16</v>
      </c>
      <c r="B25" s="409" t="s">
        <v>665</v>
      </c>
      <c r="C25" s="9" t="s">
        <v>666</v>
      </c>
      <c r="D25" s="9" t="s">
        <v>667</v>
      </c>
      <c r="E25" s="16">
        <v>2023</v>
      </c>
      <c r="F25" s="9" t="s">
        <v>21</v>
      </c>
      <c r="G25" s="9" t="s">
        <v>668</v>
      </c>
      <c r="H25" s="410"/>
      <c r="I25" s="9" t="s">
        <v>35</v>
      </c>
      <c r="J25" s="17">
        <v>45268</v>
      </c>
      <c r="K25" s="9" t="s">
        <v>21</v>
      </c>
      <c r="L25" s="9"/>
      <c r="M25" s="9" t="s">
        <v>669</v>
      </c>
      <c r="N25" s="16">
        <v>38756366</v>
      </c>
      <c r="O25" s="16" t="s">
        <v>670</v>
      </c>
      <c r="P25" s="9"/>
      <c r="Q25" s="9"/>
    </row>
    <row r="26" spans="1:18" ht="63" customHeight="1">
      <c r="A26" s="9" t="s">
        <v>16</v>
      </c>
      <c r="B26" s="105" t="s">
        <v>64</v>
      </c>
      <c r="C26" s="414" t="s">
        <v>671</v>
      </c>
      <c r="D26" s="9" t="s">
        <v>672</v>
      </c>
      <c r="E26" s="16">
        <v>2024</v>
      </c>
      <c r="F26" s="9" t="s">
        <v>21</v>
      </c>
      <c r="G26" s="410"/>
      <c r="H26" s="410"/>
      <c r="I26" s="9" t="s">
        <v>35</v>
      </c>
      <c r="J26" s="17" t="s">
        <v>673</v>
      </c>
      <c r="K26" s="9" t="s">
        <v>21</v>
      </c>
      <c r="L26" s="9"/>
      <c r="M26" s="9" t="s">
        <v>674</v>
      </c>
      <c r="N26" s="25">
        <v>38267329</v>
      </c>
      <c r="O26" s="47" t="s">
        <v>440</v>
      </c>
      <c r="P26" s="9" t="s">
        <v>675</v>
      </c>
      <c r="Q26" s="9"/>
    </row>
    <row r="27" spans="1:18" ht="63" customHeight="1">
      <c r="A27" s="9" t="s">
        <v>16</v>
      </c>
      <c r="B27" s="105" t="s">
        <v>64</v>
      </c>
      <c r="C27" s="414" t="s">
        <v>676</v>
      </c>
      <c r="D27" s="409" t="s">
        <v>677</v>
      </c>
      <c r="E27" s="16">
        <v>2024</v>
      </c>
      <c r="F27" s="9" t="s">
        <v>21</v>
      </c>
      <c r="G27" s="9"/>
      <c r="H27" s="410"/>
      <c r="I27" s="9" t="s">
        <v>35</v>
      </c>
      <c r="J27" s="17">
        <v>45506</v>
      </c>
      <c r="K27" s="9" t="s">
        <v>21</v>
      </c>
      <c r="L27" s="9"/>
      <c r="M27" s="154" t="s">
        <v>678</v>
      </c>
      <c r="N27" s="16">
        <v>39198045</v>
      </c>
      <c r="O27" s="16" t="s">
        <v>679</v>
      </c>
      <c r="P27" s="415" t="s">
        <v>680</v>
      </c>
      <c r="Q27" s="9"/>
    </row>
    <row r="28" spans="1:18" ht="63" customHeight="1">
      <c r="A28" s="9" t="s">
        <v>16</v>
      </c>
      <c r="B28" s="105" t="s">
        <v>64</v>
      </c>
      <c r="C28" s="9" t="s">
        <v>681</v>
      </c>
      <c r="D28" s="9" t="s">
        <v>682</v>
      </c>
      <c r="E28" s="16">
        <v>2024</v>
      </c>
      <c r="F28" s="9" t="s">
        <v>21</v>
      </c>
      <c r="G28" s="9" t="s">
        <v>73</v>
      </c>
      <c r="H28" s="410" t="s">
        <v>73</v>
      </c>
      <c r="I28" s="9" t="s">
        <v>35</v>
      </c>
      <c r="J28" s="17" t="s">
        <v>683</v>
      </c>
      <c r="K28" s="9" t="s">
        <v>21</v>
      </c>
      <c r="L28" s="9"/>
      <c r="M28" s="9" t="s">
        <v>684</v>
      </c>
      <c r="N28" s="16">
        <v>38368222</v>
      </c>
      <c r="O28" s="16" t="s">
        <v>685</v>
      </c>
      <c r="P28" s="415"/>
      <c r="Q28" s="9"/>
    </row>
    <row r="29" spans="1:18" s="1" customFormat="1" ht="63" customHeight="1">
      <c r="A29" s="9" t="s">
        <v>16</v>
      </c>
      <c r="B29" s="105" t="s">
        <v>80</v>
      </c>
      <c r="C29" s="409" t="s">
        <v>686</v>
      </c>
      <c r="D29" s="409" t="s">
        <v>687</v>
      </c>
      <c r="E29" s="148">
        <v>2023</v>
      </c>
      <c r="F29" s="409" t="s">
        <v>21</v>
      </c>
      <c r="G29" s="409"/>
      <c r="H29" s="416"/>
      <c r="I29" s="409" t="s">
        <v>35</v>
      </c>
      <c r="J29" s="408">
        <v>45278</v>
      </c>
      <c r="K29" s="409" t="s">
        <v>21</v>
      </c>
      <c r="L29" s="409"/>
      <c r="M29" s="154" t="s">
        <v>688</v>
      </c>
      <c r="N29" s="148">
        <v>38111108</v>
      </c>
      <c r="O29" s="148" t="s">
        <v>689</v>
      </c>
      <c r="P29" s="417"/>
      <c r="Q29" s="417"/>
      <c r="R29" s="398"/>
    </row>
    <row r="30" spans="1:18" ht="63" customHeight="1">
      <c r="A30" s="9" t="s">
        <v>16</v>
      </c>
      <c r="B30" s="409" t="s">
        <v>69</v>
      </c>
      <c r="C30" s="9" t="s">
        <v>100</v>
      </c>
      <c r="D30" s="9" t="s">
        <v>101</v>
      </c>
      <c r="E30" s="16">
        <v>2023</v>
      </c>
      <c r="F30" s="9"/>
      <c r="G30" s="410"/>
      <c r="H30" s="410"/>
      <c r="I30" s="9" t="s">
        <v>72</v>
      </c>
      <c r="J30" s="17">
        <v>45131</v>
      </c>
      <c r="K30" s="9" t="s">
        <v>21</v>
      </c>
      <c r="L30" s="155" t="s">
        <v>690</v>
      </c>
      <c r="M30" s="9" t="s">
        <v>75</v>
      </c>
      <c r="N30" s="16" t="s">
        <v>75</v>
      </c>
      <c r="O30" s="16" t="s">
        <v>75</v>
      </c>
      <c r="P30" s="155" t="s">
        <v>690</v>
      </c>
      <c r="Q30" s="9"/>
    </row>
    <row r="31" spans="1:18" ht="63" customHeight="1">
      <c r="A31" s="9" t="s">
        <v>16</v>
      </c>
      <c r="B31" s="105" t="s">
        <v>17</v>
      </c>
      <c r="C31" s="9" t="s">
        <v>140</v>
      </c>
      <c r="D31" s="414" t="s">
        <v>141</v>
      </c>
      <c r="E31" s="16">
        <v>2023</v>
      </c>
      <c r="F31" s="9"/>
      <c r="G31" s="410"/>
      <c r="H31" s="410"/>
      <c r="I31" s="9" t="s">
        <v>20</v>
      </c>
      <c r="J31" s="17">
        <v>45197</v>
      </c>
      <c r="K31" s="9" t="s">
        <v>21</v>
      </c>
      <c r="L31" s="9"/>
      <c r="M31" s="9" t="s">
        <v>142</v>
      </c>
      <c r="N31" s="25">
        <v>37768879</v>
      </c>
      <c r="O31" s="16" t="s">
        <v>143</v>
      </c>
      <c r="P31" s="9"/>
      <c r="Q31" s="9"/>
    </row>
    <row r="32" spans="1:18" ht="63" customHeight="1">
      <c r="A32" s="9" t="s">
        <v>16</v>
      </c>
      <c r="B32" s="409" t="s">
        <v>17</v>
      </c>
      <c r="C32" s="9" t="s">
        <v>691</v>
      </c>
      <c r="D32" s="9" t="s">
        <v>692</v>
      </c>
      <c r="E32" s="16">
        <v>2024</v>
      </c>
      <c r="F32" s="9" t="s">
        <v>20</v>
      </c>
      <c r="G32" s="410"/>
      <c r="H32" s="410"/>
      <c r="I32" s="9" t="s">
        <v>20</v>
      </c>
      <c r="K32" s="9" t="s">
        <v>693</v>
      </c>
      <c r="L32" s="155"/>
      <c r="M32" s="9" t="s">
        <v>694</v>
      </c>
      <c r="N32" s="16">
        <v>39480706</v>
      </c>
      <c r="O32" s="16" t="s">
        <v>695</v>
      </c>
      <c r="P32" s="155"/>
      <c r="Q32" s="9"/>
    </row>
    <row r="33" spans="1:25" ht="63" customHeight="1">
      <c r="A33" s="9" t="s">
        <v>16</v>
      </c>
      <c r="B33" s="409" t="s">
        <v>64</v>
      </c>
      <c r="C33" s="9" t="s">
        <v>696</v>
      </c>
      <c r="D33" s="9" t="s">
        <v>697</v>
      </c>
      <c r="E33" s="16">
        <v>2024</v>
      </c>
      <c r="F33" s="9" t="s">
        <v>21</v>
      </c>
      <c r="G33" s="9">
        <v>42</v>
      </c>
      <c r="H33" s="410" t="s">
        <v>698</v>
      </c>
      <c r="I33" s="9" t="s">
        <v>35</v>
      </c>
      <c r="J33" s="17">
        <v>45350</v>
      </c>
      <c r="K33" s="9" t="s">
        <v>21</v>
      </c>
      <c r="L33" s="418"/>
      <c r="M33" s="418" t="s">
        <v>699</v>
      </c>
      <c r="N33" s="364">
        <v>38418339</v>
      </c>
      <c r="O33" s="47" t="s">
        <v>440</v>
      </c>
      <c r="P33" s="9" t="s">
        <v>700</v>
      </c>
      <c r="Q33" s="9"/>
    </row>
    <row r="34" spans="1:25" ht="63" customHeight="1">
      <c r="A34" s="9" t="s">
        <v>16</v>
      </c>
      <c r="B34" s="105" t="s">
        <v>701</v>
      </c>
      <c r="C34" s="417" t="s">
        <v>702</v>
      </c>
      <c r="D34" s="417" t="s">
        <v>703</v>
      </c>
      <c r="E34" s="16">
        <v>2024</v>
      </c>
      <c r="F34" s="9" t="s">
        <v>21</v>
      </c>
      <c r="G34" s="9"/>
      <c r="H34" s="410"/>
      <c r="I34" s="9" t="s">
        <v>35</v>
      </c>
      <c r="J34" s="419"/>
      <c r="K34" s="9" t="s">
        <v>21</v>
      </c>
      <c r="L34" s="9"/>
      <c r="M34" s="9" t="s">
        <v>704</v>
      </c>
      <c r="N34" s="16">
        <v>38423818</v>
      </c>
      <c r="O34" s="16" t="s">
        <v>705</v>
      </c>
      <c r="P34" s="9" t="s">
        <v>706</v>
      </c>
      <c r="Q34" s="9"/>
    </row>
    <row r="35" spans="1:25" ht="63" customHeight="1">
      <c r="A35" s="9" t="s">
        <v>16</v>
      </c>
      <c r="B35" s="105" t="s">
        <v>80</v>
      </c>
      <c r="C35" s="9" t="s">
        <v>707</v>
      </c>
      <c r="D35" s="9" t="s">
        <v>708</v>
      </c>
      <c r="E35" s="16">
        <v>2024</v>
      </c>
      <c r="F35" s="9" t="s">
        <v>21</v>
      </c>
      <c r="G35" s="9">
        <v>139</v>
      </c>
      <c r="H35" s="9" t="s">
        <v>73</v>
      </c>
      <c r="I35" s="9" t="s">
        <v>35</v>
      </c>
      <c r="J35" s="17">
        <v>45371</v>
      </c>
      <c r="K35" s="9" t="s">
        <v>21</v>
      </c>
      <c r="L35" s="9"/>
      <c r="M35" s="9" t="s">
        <v>709</v>
      </c>
      <c r="N35" s="16">
        <v>38504465</v>
      </c>
      <c r="O35" s="16" t="s">
        <v>710</v>
      </c>
      <c r="P35" s="9" t="s">
        <v>711</v>
      </c>
      <c r="Q35" s="9"/>
    </row>
    <row r="36" spans="1:25" ht="51">
      <c r="A36" s="9" t="s">
        <v>16</v>
      </c>
      <c r="B36" s="105" t="s">
        <v>154</v>
      </c>
      <c r="C36" s="9" t="s">
        <v>712</v>
      </c>
      <c r="D36" s="9" t="s">
        <v>713</v>
      </c>
      <c r="E36" s="16">
        <v>2024</v>
      </c>
      <c r="F36" s="9" t="s">
        <v>21</v>
      </c>
      <c r="G36" s="9">
        <v>182</v>
      </c>
      <c r="H36" s="410"/>
      <c r="I36" s="9" t="s">
        <v>35</v>
      </c>
      <c r="J36" s="17" t="s">
        <v>714</v>
      </c>
      <c r="K36" s="9" t="s">
        <v>21</v>
      </c>
      <c r="L36" s="9"/>
      <c r="M36" s="155" t="s">
        <v>715</v>
      </c>
      <c r="N36" s="16">
        <v>38493896</v>
      </c>
      <c r="O36" s="152" t="s">
        <v>716</v>
      </c>
      <c r="P36" s="9"/>
      <c r="Q36" s="9"/>
    </row>
    <row r="37" spans="1:25" ht="63" customHeight="1">
      <c r="A37" s="9" t="s">
        <v>16</v>
      </c>
      <c r="B37" s="409" t="s">
        <v>219</v>
      </c>
      <c r="C37" s="9" t="s">
        <v>220</v>
      </c>
      <c r="D37" s="9" t="s">
        <v>221</v>
      </c>
      <c r="E37" s="16">
        <v>2024</v>
      </c>
      <c r="F37" s="9" t="s">
        <v>21</v>
      </c>
      <c r="G37" s="9">
        <v>43</v>
      </c>
      <c r="H37" s="410" t="s">
        <v>222</v>
      </c>
      <c r="I37" s="9" t="s">
        <v>45</v>
      </c>
      <c r="J37" s="17">
        <v>45474</v>
      </c>
      <c r="K37" s="9" t="s">
        <v>21</v>
      </c>
      <c r="L37" s="9"/>
      <c r="M37" s="9" t="s">
        <v>223</v>
      </c>
      <c r="N37" s="16">
        <v>38950301</v>
      </c>
      <c r="O37" s="148" t="s">
        <v>224</v>
      </c>
      <c r="P37" s="9"/>
      <c r="Q37" s="9"/>
    </row>
    <row r="38" spans="1:25" ht="63" customHeight="1">
      <c r="A38" s="9" t="s">
        <v>16</v>
      </c>
      <c r="B38" s="105" t="s">
        <v>717</v>
      </c>
      <c r="C38" s="414" t="s">
        <v>718</v>
      </c>
      <c r="D38" s="9" t="s">
        <v>719</v>
      </c>
      <c r="E38" s="16">
        <v>2024</v>
      </c>
      <c r="F38" s="9" t="s">
        <v>21</v>
      </c>
      <c r="G38" s="9"/>
      <c r="H38" s="410"/>
      <c r="I38" s="9" t="s">
        <v>45</v>
      </c>
      <c r="J38" s="17">
        <v>45475</v>
      </c>
      <c r="K38" s="9" t="s">
        <v>21</v>
      </c>
      <c r="L38" s="418"/>
      <c r="M38" s="156" t="s">
        <v>720</v>
      </c>
      <c r="N38" s="16">
        <v>38954648</v>
      </c>
      <c r="O38" s="16" t="s">
        <v>721</v>
      </c>
      <c r="P38" s="9" t="s">
        <v>722</v>
      </c>
      <c r="Q38" s="9"/>
    </row>
    <row r="39" spans="1:25" ht="63" customHeight="1">
      <c r="A39" s="9" t="s">
        <v>16</v>
      </c>
      <c r="B39" s="105" t="s">
        <v>64</v>
      </c>
      <c r="C39" s="414" t="s">
        <v>723</v>
      </c>
      <c r="D39" s="9" t="s">
        <v>724</v>
      </c>
      <c r="E39" s="16">
        <v>2024</v>
      </c>
      <c r="F39" s="9" t="s">
        <v>176</v>
      </c>
      <c r="G39" s="9"/>
      <c r="H39" s="410"/>
      <c r="I39" s="9" t="s">
        <v>45</v>
      </c>
      <c r="J39" s="17">
        <v>45468</v>
      </c>
      <c r="K39" s="9" t="s">
        <v>21</v>
      </c>
      <c r="L39" s="418"/>
      <c r="M39" s="156" t="s">
        <v>725</v>
      </c>
      <c r="N39" s="16">
        <v>38926071</v>
      </c>
      <c r="O39" s="16" t="s">
        <v>726</v>
      </c>
      <c r="P39" s="9" t="s">
        <v>711</v>
      </c>
      <c r="Q39" s="9"/>
    </row>
    <row r="40" spans="1:25" ht="63" customHeight="1">
      <c r="A40" s="9" t="s">
        <v>16</v>
      </c>
      <c r="B40" s="105" t="s">
        <v>701</v>
      </c>
      <c r="C40" s="414" t="s">
        <v>727</v>
      </c>
      <c r="D40" s="9" t="s">
        <v>728</v>
      </c>
      <c r="E40" s="16">
        <v>2024</v>
      </c>
      <c r="F40" s="9" t="s">
        <v>176</v>
      </c>
      <c r="G40" s="9"/>
      <c r="H40" s="410"/>
      <c r="I40" s="9" t="s">
        <v>45</v>
      </c>
      <c r="J40" s="17">
        <v>45447</v>
      </c>
      <c r="K40" s="9" t="s">
        <v>21</v>
      </c>
      <c r="L40" s="9"/>
      <c r="M40" s="155" t="s">
        <v>729</v>
      </c>
      <c r="N40" s="16">
        <v>38839517</v>
      </c>
      <c r="O40" s="16" t="s">
        <v>730</v>
      </c>
      <c r="P40" s="9" t="s">
        <v>711</v>
      </c>
      <c r="Q40" s="9"/>
    </row>
    <row r="41" spans="1:25" ht="63" customHeight="1">
      <c r="A41" s="9" t="s">
        <v>16</v>
      </c>
      <c r="B41" s="105" t="s">
        <v>206</v>
      </c>
      <c r="C41" s="414" t="s">
        <v>731</v>
      </c>
      <c r="D41" s="9" t="s">
        <v>208</v>
      </c>
      <c r="E41" s="16">
        <v>2024</v>
      </c>
      <c r="F41" s="9" t="s">
        <v>21</v>
      </c>
      <c r="G41" s="410" t="s">
        <v>209</v>
      </c>
      <c r="H41" s="410" t="s">
        <v>210</v>
      </c>
      <c r="I41" s="9" t="s">
        <v>45</v>
      </c>
      <c r="J41" s="17">
        <v>45415</v>
      </c>
      <c r="K41" s="9" t="s">
        <v>21</v>
      </c>
      <c r="L41" s="9"/>
      <c r="M41" s="420" t="s">
        <v>732</v>
      </c>
      <c r="N41" s="145">
        <v>38793746</v>
      </c>
      <c r="O41" s="25" t="s">
        <v>733</v>
      </c>
      <c r="P41" s="415"/>
      <c r="Q41" s="9"/>
    </row>
    <row r="42" spans="1:25" ht="63" customHeight="1">
      <c r="A42" s="9" t="s">
        <v>16</v>
      </c>
      <c r="B42" s="421" t="s">
        <v>734</v>
      </c>
      <c r="C42" s="422" t="s">
        <v>735</v>
      </c>
      <c r="D42" s="422" t="s">
        <v>736</v>
      </c>
      <c r="E42" s="423">
        <v>2023</v>
      </c>
      <c r="F42" s="422" t="s">
        <v>21</v>
      </c>
      <c r="G42" s="422" t="s">
        <v>737</v>
      </c>
      <c r="H42" s="422"/>
      <c r="I42" s="424" t="s">
        <v>45</v>
      </c>
      <c r="J42" s="425"/>
      <c r="K42" s="422" t="s">
        <v>21</v>
      </c>
      <c r="L42" s="422"/>
      <c r="M42" s="420" t="s">
        <v>738</v>
      </c>
      <c r="N42" s="423">
        <v>38113241</v>
      </c>
      <c r="O42" s="423" t="s">
        <v>739</v>
      </c>
      <c r="P42" s="426"/>
      <c r="Q42" s="390"/>
      <c r="R42" s="390"/>
      <c r="S42" s="149"/>
      <c r="T42" s="149"/>
      <c r="U42" s="149"/>
      <c r="V42" s="149"/>
      <c r="W42" s="149"/>
      <c r="X42" s="149"/>
      <c r="Y42" s="149"/>
    </row>
    <row r="43" spans="1:25" ht="63" customHeight="1">
      <c r="A43" s="9" t="s">
        <v>16</v>
      </c>
      <c r="B43" s="421" t="s">
        <v>740</v>
      </c>
      <c r="C43" s="422" t="s">
        <v>741</v>
      </c>
      <c r="D43" s="422" t="s">
        <v>742</v>
      </c>
      <c r="E43" s="423">
        <v>2024</v>
      </c>
      <c r="F43" s="422"/>
      <c r="G43" s="422" t="s">
        <v>743</v>
      </c>
      <c r="H43" s="422"/>
      <c r="I43" s="424" t="s">
        <v>45</v>
      </c>
      <c r="J43" s="425"/>
      <c r="K43" s="422" t="s">
        <v>21</v>
      </c>
      <c r="L43" s="422"/>
      <c r="M43" s="420" t="s">
        <v>744</v>
      </c>
      <c r="N43" s="423">
        <v>37678261</v>
      </c>
      <c r="O43" s="423" t="s">
        <v>745</v>
      </c>
      <c r="P43" s="426"/>
      <c r="Q43" s="426"/>
      <c r="R43" s="426"/>
      <c r="S43" s="149"/>
      <c r="T43" s="149"/>
      <c r="U43" s="149"/>
      <c r="V43" s="149"/>
      <c r="W43" s="149"/>
      <c r="X43" s="149"/>
      <c r="Y43" s="149"/>
    </row>
    <row r="44" spans="1:25" ht="63" customHeight="1">
      <c r="A44" s="9" t="s">
        <v>16</v>
      </c>
      <c r="B44" s="421" t="s">
        <v>64</v>
      </c>
      <c r="C44" s="422" t="s">
        <v>746</v>
      </c>
      <c r="D44" s="422" t="s">
        <v>747</v>
      </c>
      <c r="E44" s="423">
        <v>2024</v>
      </c>
      <c r="F44" s="422"/>
      <c r="G44" s="422">
        <v>24</v>
      </c>
      <c r="H44" s="422"/>
      <c r="I44" s="424" t="s">
        <v>45</v>
      </c>
      <c r="J44" s="425"/>
      <c r="K44" s="422" t="s">
        <v>21</v>
      </c>
      <c r="L44" s="422"/>
      <c r="M44" s="420" t="s">
        <v>748</v>
      </c>
      <c r="N44" s="423">
        <v>38429152</v>
      </c>
      <c r="O44" s="425" t="s">
        <v>440</v>
      </c>
      <c r="P44" s="426"/>
      <c r="Q44" s="390"/>
      <c r="R44" s="390"/>
      <c r="S44" s="149"/>
      <c r="T44" s="149"/>
      <c r="U44" s="149"/>
      <c r="V44" s="149"/>
      <c r="W44" s="149"/>
      <c r="X44" s="149"/>
      <c r="Y44" s="149"/>
    </row>
    <row r="45" spans="1:25" ht="63" customHeight="1">
      <c r="A45" s="9" t="s">
        <v>16</v>
      </c>
      <c r="B45" s="421" t="s">
        <v>20</v>
      </c>
      <c r="C45" s="422" t="s">
        <v>749</v>
      </c>
      <c r="D45" s="422" t="s">
        <v>750</v>
      </c>
      <c r="E45" s="423">
        <v>2024</v>
      </c>
      <c r="F45" s="422"/>
      <c r="G45" s="422" t="s">
        <v>751</v>
      </c>
      <c r="H45" s="422" t="s">
        <v>752</v>
      </c>
      <c r="I45" s="422" t="s">
        <v>45</v>
      </c>
      <c r="J45" s="17">
        <v>45435</v>
      </c>
      <c r="K45" s="422" t="s">
        <v>21</v>
      </c>
      <c r="L45" s="422"/>
      <c r="M45" s="420" t="s">
        <v>753</v>
      </c>
      <c r="N45" s="148">
        <v>38781111</v>
      </c>
      <c r="O45" s="148" t="s">
        <v>754</v>
      </c>
      <c r="P45" s="426"/>
      <c r="Q45" s="390"/>
      <c r="R45" s="390"/>
      <c r="S45" s="149"/>
      <c r="T45" s="149"/>
      <c r="U45" s="149"/>
      <c r="V45" s="149"/>
      <c r="W45" s="149"/>
      <c r="X45" s="149"/>
      <c r="Y45" s="149"/>
    </row>
    <row r="46" spans="1:25" ht="63" customHeight="1">
      <c r="A46" s="9" t="s">
        <v>16</v>
      </c>
      <c r="B46" s="105" t="s">
        <v>64</v>
      </c>
      <c r="C46" s="414" t="s">
        <v>676</v>
      </c>
      <c r="D46" s="409" t="s">
        <v>677</v>
      </c>
      <c r="E46" s="16">
        <v>2024</v>
      </c>
      <c r="F46" s="9" t="s">
        <v>21</v>
      </c>
      <c r="G46" s="9"/>
      <c r="H46" s="410"/>
      <c r="I46" s="9" t="s">
        <v>35</v>
      </c>
      <c r="J46" s="17">
        <v>45506</v>
      </c>
      <c r="K46" s="9" t="s">
        <v>21</v>
      </c>
      <c r="L46" s="9"/>
      <c r="M46" s="154" t="s">
        <v>678</v>
      </c>
      <c r="N46" s="16">
        <v>39198045</v>
      </c>
      <c r="O46" s="16" t="s">
        <v>755</v>
      </c>
      <c r="P46" s="9" t="s">
        <v>680</v>
      </c>
      <c r="Q46" s="9"/>
    </row>
    <row r="47" spans="1:25" s="58" customFormat="1" ht="63" customHeight="1">
      <c r="A47" s="9" t="s">
        <v>16</v>
      </c>
      <c r="B47" s="421" t="s">
        <v>64</v>
      </c>
      <c r="C47" s="422" t="s">
        <v>756</v>
      </c>
      <c r="D47" s="422" t="s">
        <v>757</v>
      </c>
      <c r="E47" s="58">
        <v>2024</v>
      </c>
      <c r="F47" s="413" t="s">
        <v>21</v>
      </c>
      <c r="G47" s="413">
        <v>24</v>
      </c>
      <c r="H47" s="427"/>
      <c r="I47" s="413" t="s">
        <v>35</v>
      </c>
      <c r="J47" s="428">
        <v>45390</v>
      </c>
      <c r="K47" s="413" t="s">
        <v>21</v>
      </c>
      <c r="L47" s="413"/>
      <c r="M47" s="413" t="s">
        <v>758</v>
      </c>
      <c r="N47" s="58">
        <v>38594121</v>
      </c>
      <c r="O47" s="423" t="s">
        <v>759</v>
      </c>
      <c r="P47" s="413" t="s">
        <v>711</v>
      </c>
      <c r="Q47" s="413"/>
    </row>
    <row r="48" spans="1:25" ht="63" customHeight="1">
      <c r="A48" s="9" t="s">
        <v>16</v>
      </c>
      <c r="B48" s="157" t="s">
        <v>760</v>
      </c>
      <c r="C48" s="417" t="s">
        <v>761</v>
      </c>
      <c r="D48" s="429" t="s">
        <v>762</v>
      </c>
      <c r="E48" s="27">
        <v>2024</v>
      </c>
      <c r="F48" s="429" t="s">
        <v>21</v>
      </c>
      <c r="G48" s="429"/>
      <c r="H48" s="430"/>
      <c r="I48" s="429" t="s">
        <v>35</v>
      </c>
      <c r="J48" s="431"/>
      <c r="K48" s="429" t="s">
        <v>21</v>
      </c>
      <c r="L48" s="429"/>
      <c r="M48" s="429" t="s">
        <v>197</v>
      </c>
      <c r="N48" s="27">
        <v>38832672</v>
      </c>
      <c r="O48" s="27" t="s">
        <v>763</v>
      </c>
      <c r="P48" s="9"/>
      <c r="Q48" s="9"/>
    </row>
    <row r="49" spans="1:25" s="9" customFormat="1" ht="63" customHeight="1">
      <c r="A49" s="9" t="s">
        <v>16</v>
      </c>
      <c r="B49" s="105" t="s">
        <v>126</v>
      </c>
      <c r="C49" s="432" t="s">
        <v>764</v>
      </c>
      <c r="D49" s="432" t="s">
        <v>765</v>
      </c>
      <c r="E49" s="16">
        <v>2024</v>
      </c>
      <c r="F49" s="9" t="s">
        <v>21</v>
      </c>
      <c r="G49" s="9" t="s">
        <v>766</v>
      </c>
      <c r="H49" s="410"/>
      <c r="I49" s="9" t="s">
        <v>35</v>
      </c>
      <c r="J49" s="419"/>
      <c r="K49" s="9" t="s">
        <v>21</v>
      </c>
      <c r="L49" s="158" t="s">
        <v>767</v>
      </c>
      <c r="M49" s="155" t="s">
        <v>768</v>
      </c>
      <c r="N49" s="16">
        <v>39582316</v>
      </c>
      <c r="O49" s="47" t="s">
        <v>440</v>
      </c>
      <c r="P49" s="158" t="s">
        <v>767</v>
      </c>
    </row>
    <row r="50" spans="1:25" s="150" customFormat="1" ht="63" customHeight="1">
      <c r="A50" s="9" t="s">
        <v>16</v>
      </c>
      <c r="B50" s="105" t="s">
        <v>126</v>
      </c>
      <c r="C50" s="417" t="s">
        <v>769</v>
      </c>
      <c r="D50" s="417" t="s">
        <v>770</v>
      </c>
      <c r="E50" s="16">
        <v>2024</v>
      </c>
      <c r="F50" s="9" t="s">
        <v>21</v>
      </c>
      <c r="G50" s="9" t="s">
        <v>766</v>
      </c>
      <c r="H50" s="410"/>
      <c r="I50" s="9" t="s">
        <v>35</v>
      </c>
      <c r="J50" s="419"/>
      <c r="K50" s="9" t="s">
        <v>21</v>
      </c>
      <c r="L50" s="158" t="s">
        <v>771</v>
      </c>
      <c r="M50" s="9" t="s">
        <v>772</v>
      </c>
      <c r="N50" s="16">
        <v>39582303</v>
      </c>
      <c r="O50" s="47" t="s">
        <v>440</v>
      </c>
      <c r="P50" s="158" t="s">
        <v>771</v>
      </c>
      <c r="Q50" s="9"/>
      <c r="R50" s="9"/>
      <c r="S50" s="9"/>
      <c r="T50" s="9"/>
      <c r="U50" s="9"/>
      <c r="V50" s="9"/>
      <c r="W50" s="9"/>
      <c r="X50" s="9"/>
      <c r="Y50" s="9"/>
    </row>
    <row r="51" spans="1:25" s="9" customFormat="1" ht="63" customHeight="1">
      <c r="A51" s="9" t="s">
        <v>16</v>
      </c>
      <c r="B51" s="105" t="s">
        <v>64</v>
      </c>
      <c r="C51" s="432" t="s">
        <v>773</v>
      </c>
      <c r="D51" s="432" t="s">
        <v>774</v>
      </c>
      <c r="E51" s="16">
        <v>2024</v>
      </c>
      <c r="F51" s="9" t="s">
        <v>21</v>
      </c>
      <c r="H51" s="410"/>
      <c r="I51" s="9" t="s">
        <v>35</v>
      </c>
      <c r="J51" s="419"/>
      <c r="K51" s="9" t="s">
        <v>21</v>
      </c>
      <c r="M51" s="9" t="s">
        <v>775</v>
      </c>
      <c r="N51" s="16">
        <v>39232401</v>
      </c>
      <c r="O51" s="433" t="s">
        <v>776</v>
      </c>
    </row>
    <row r="52" spans="1:25" s="9" customFormat="1" ht="63" customHeight="1">
      <c r="A52" s="9" t="s">
        <v>16</v>
      </c>
      <c r="B52" s="105" t="s">
        <v>64</v>
      </c>
      <c r="C52" s="417" t="s">
        <v>777</v>
      </c>
      <c r="D52" s="417" t="s">
        <v>778</v>
      </c>
      <c r="E52" s="16">
        <v>2024</v>
      </c>
      <c r="F52" s="9" t="s">
        <v>21</v>
      </c>
      <c r="H52" s="410"/>
      <c r="I52" s="9" t="s">
        <v>35</v>
      </c>
      <c r="J52" s="419"/>
      <c r="K52" s="9" t="s">
        <v>21</v>
      </c>
      <c r="M52" s="9" t="s">
        <v>779</v>
      </c>
      <c r="N52" s="16">
        <v>39241353</v>
      </c>
      <c r="O52" s="16" t="s">
        <v>780</v>
      </c>
    </row>
    <row r="53" spans="1:25" ht="63" customHeight="1">
      <c r="A53" s="9" t="s">
        <v>16</v>
      </c>
      <c r="B53" s="105" t="s">
        <v>64</v>
      </c>
      <c r="C53" s="417" t="s">
        <v>781</v>
      </c>
      <c r="D53" s="9" t="s">
        <v>275</v>
      </c>
      <c r="E53" s="16">
        <v>2024</v>
      </c>
      <c r="F53" s="9" t="s">
        <v>21</v>
      </c>
      <c r="G53" s="410"/>
      <c r="H53" s="410"/>
      <c r="I53" s="9" t="s">
        <v>35</v>
      </c>
      <c r="J53" s="17">
        <v>45569</v>
      </c>
      <c r="K53" s="434" t="s">
        <v>21</v>
      </c>
      <c r="L53" s="158" t="s">
        <v>280</v>
      </c>
      <c r="M53" s="9" t="s">
        <v>782</v>
      </c>
      <c r="N53" s="16">
        <v>39368124</v>
      </c>
      <c r="O53" s="435" t="s">
        <v>783</v>
      </c>
      <c r="P53" s="158" t="s">
        <v>280</v>
      </c>
      <c r="Q53" s="9"/>
    </row>
    <row r="54" spans="1:25" ht="63" customHeight="1">
      <c r="A54" s="9" t="s">
        <v>16</v>
      </c>
      <c r="B54" s="105" t="s">
        <v>20</v>
      </c>
      <c r="C54" s="9" t="s">
        <v>784</v>
      </c>
      <c r="D54" s="9" t="s">
        <v>785</v>
      </c>
      <c r="E54" s="16">
        <v>2024</v>
      </c>
      <c r="F54" s="9" t="s">
        <v>21</v>
      </c>
      <c r="G54" s="9" t="s">
        <v>786</v>
      </c>
      <c r="H54" s="410"/>
      <c r="I54" s="9" t="s">
        <v>20</v>
      </c>
      <c r="J54" s="17">
        <v>45512</v>
      </c>
      <c r="K54" s="9" t="s">
        <v>21</v>
      </c>
      <c r="L54" s="158" t="s">
        <v>787</v>
      </c>
      <c r="M54" s="9" t="s">
        <v>788</v>
      </c>
      <c r="N54" s="16">
        <v>39116024</v>
      </c>
      <c r="O54" s="16" t="s">
        <v>789</v>
      </c>
      <c r="P54" s="158" t="s">
        <v>787</v>
      </c>
      <c r="Q54" s="9"/>
    </row>
    <row r="55" spans="1:25" ht="63" customHeight="1">
      <c r="A55" s="9" t="s">
        <v>16</v>
      </c>
      <c r="B55" s="105" t="s">
        <v>20</v>
      </c>
      <c r="C55" s="9" t="s">
        <v>790</v>
      </c>
      <c r="D55" s="9" t="s">
        <v>791</v>
      </c>
      <c r="E55" s="16">
        <v>2024</v>
      </c>
      <c r="F55" s="9" t="s">
        <v>21</v>
      </c>
      <c r="G55" s="9" t="s">
        <v>792</v>
      </c>
      <c r="H55" s="410"/>
      <c r="I55" s="9" t="s">
        <v>20</v>
      </c>
      <c r="J55" s="17">
        <v>45547</v>
      </c>
      <c r="K55" s="9" t="s">
        <v>21</v>
      </c>
      <c r="L55" s="155" t="s">
        <v>793</v>
      </c>
      <c r="M55" s="9" t="s">
        <v>794</v>
      </c>
      <c r="N55" s="16">
        <v>39264843</v>
      </c>
      <c r="O55" s="16" t="s">
        <v>795</v>
      </c>
      <c r="P55" s="155" t="s">
        <v>793</v>
      </c>
      <c r="Q55" s="9"/>
    </row>
    <row r="56" spans="1:25" ht="63" customHeight="1">
      <c r="A56" s="9" t="s">
        <v>16</v>
      </c>
      <c r="B56" s="105" t="s">
        <v>796</v>
      </c>
      <c r="C56" s="9" t="s">
        <v>797</v>
      </c>
      <c r="D56" s="9" t="s">
        <v>798</v>
      </c>
      <c r="E56" s="16">
        <v>2024</v>
      </c>
      <c r="F56" s="9" t="s">
        <v>21</v>
      </c>
      <c r="G56" s="9"/>
      <c r="H56" s="410"/>
      <c r="I56" s="9" t="s">
        <v>72</v>
      </c>
      <c r="J56" s="17">
        <v>45610</v>
      </c>
      <c r="K56" s="9" t="s">
        <v>21</v>
      </c>
      <c r="L56" s="155" t="s">
        <v>799</v>
      </c>
      <c r="M56" s="155" t="s">
        <v>799</v>
      </c>
      <c r="P56" s="9"/>
      <c r="Q56" s="9"/>
    </row>
    <row r="57" spans="1:25" s="341" customFormat="1" ht="24" customHeight="1">
      <c r="A57" s="9" t="s">
        <v>16</v>
      </c>
      <c r="B57" s="105" t="s">
        <v>64</v>
      </c>
      <c r="C57" s="417" t="s">
        <v>800</v>
      </c>
      <c r="D57" s="159" t="s">
        <v>801</v>
      </c>
      <c r="E57" s="16">
        <v>2025</v>
      </c>
      <c r="F57" s="9" t="s">
        <v>21</v>
      </c>
      <c r="G57" s="9" t="s">
        <v>802</v>
      </c>
      <c r="H57" s="410"/>
      <c r="I57" s="9" t="s">
        <v>35</v>
      </c>
      <c r="J57" s="17">
        <v>45660</v>
      </c>
      <c r="K57" s="9" t="s">
        <v>21</v>
      </c>
      <c r="L57" s="418"/>
      <c r="M57" s="339" t="s">
        <v>803</v>
      </c>
      <c r="N57" s="16">
        <v>39754832</v>
      </c>
      <c r="O57" s="16" t="s">
        <v>804</v>
      </c>
      <c r="P57" s="9"/>
      <c r="Q57" s="436"/>
    </row>
    <row r="58" spans="1:25" ht="24" customHeight="1">
      <c r="A58" s="9" t="s">
        <v>16</v>
      </c>
      <c r="B58" s="105" t="s">
        <v>20</v>
      </c>
      <c r="C58" s="9" t="s">
        <v>805</v>
      </c>
      <c r="D58" s="9" t="s">
        <v>806</v>
      </c>
      <c r="E58" s="16">
        <v>2025</v>
      </c>
      <c r="F58" s="9" t="s">
        <v>21</v>
      </c>
      <c r="G58" s="9"/>
      <c r="H58" s="410"/>
      <c r="I58" s="9" t="s">
        <v>20</v>
      </c>
      <c r="J58" s="419"/>
      <c r="K58" s="9" t="s">
        <v>21</v>
      </c>
      <c r="L58" s="9"/>
      <c r="M58" s="9" t="s">
        <v>807</v>
      </c>
      <c r="N58" s="16">
        <v>39773952</v>
      </c>
      <c r="O58" s="16" t="s">
        <v>808</v>
      </c>
      <c r="P58" s="9"/>
      <c r="Q58" s="9"/>
    </row>
    <row r="59" spans="1:25" ht="26.25" customHeight="1">
      <c r="A59" s="409" t="s">
        <v>16</v>
      </c>
      <c r="B59" s="105" t="s">
        <v>809</v>
      </c>
      <c r="C59" s="9" t="s">
        <v>810</v>
      </c>
      <c r="D59" s="9" t="s">
        <v>811</v>
      </c>
      <c r="E59" s="16">
        <v>2025</v>
      </c>
      <c r="F59" s="9" t="s">
        <v>176</v>
      </c>
      <c r="G59" s="9"/>
      <c r="H59" s="410"/>
      <c r="I59" s="9" t="s">
        <v>35</v>
      </c>
      <c r="J59" s="419"/>
      <c r="K59" s="9" t="s">
        <v>21</v>
      </c>
      <c r="L59" s="9"/>
      <c r="M59" s="9" t="s">
        <v>812</v>
      </c>
      <c r="N59" s="16">
        <v>40003283</v>
      </c>
      <c r="O59" s="16" t="s">
        <v>813</v>
      </c>
      <c r="P59" s="9"/>
      <c r="Q59" s="9"/>
    </row>
    <row r="60" spans="1:25" ht="30" customHeight="1">
      <c r="A60" s="409" t="s">
        <v>16</v>
      </c>
      <c r="B60" s="105" t="s">
        <v>64</v>
      </c>
      <c r="C60" s="9" t="s">
        <v>814</v>
      </c>
      <c r="D60" s="9" t="s">
        <v>815</v>
      </c>
      <c r="E60" s="16">
        <v>2025</v>
      </c>
      <c r="F60" s="9" t="s">
        <v>816</v>
      </c>
      <c r="G60" s="9"/>
      <c r="H60" s="410"/>
      <c r="I60" s="9" t="s">
        <v>35</v>
      </c>
      <c r="J60" s="419"/>
      <c r="K60" s="9" t="s">
        <v>21</v>
      </c>
      <c r="L60" s="9"/>
      <c r="M60" s="9" t="s">
        <v>817</v>
      </c>
      <c r="N60" s="16">
        <v>39645434</v>
      </c>
      <c r="O60" s="47" t="s">
        <v>440</v>
      </c>
      <c r="P60" s="9"/>
      <c r="Q60" s="9"/>
    </row>
    <row r="61" spans="1:25" ht="42.75" customHeight="1">
      <c r="A61" s="409" t="s">
        <v>16</v>
      </c>
      <c r="B61" s="105" t="s">
        <v>818</v>
      </c>
      <c r="C61" s="420" t="s">
        <v>819</v>
      </c>
      <c r="D61" s="409" t="s">
        <v>820</v>
      </c>
      <c r="E61" s="16">
        <v>2026</v>
      </c>
      <c r="F61" s="9" t="s">
        <v>21</v>
      </c>
      <c r="G61" s="9"/>
      <c r="H61" s="410"/>
      <c r="I61" s="9" t="s">
        <v>35</v>
      </c>
      <c r="K61" s="9" t="s">
        <v>21</v>
      </c>
      <c r="L61" s="9"/>
      <c r="M61" s="221" t="s">
        <v>821</v>
      </c>
      <c r="P61" s="9"/>
      <c r="Q61" s="9"/>
    </row>
    <row r="62" spans="1:25" ht="31.7" customHeight="1">
      <c r="A62" s="9" t="s">
        <v>16</v>
      </c>
      <c r="B62" s="105" t="s">
        <v>796</v>
      </c>
      <c r="C62" s="9" t="s">
        <v>822</v>
      </c>
      <c r="D62" s="9" t="s">
        <v>823</v>
      </c>
      <c r="E62" s="16">
        <v>2025</v>
      </c>
      <c r="F62" s="9" t="s">
        <v>21</v>
      </c>
      <c r="G62" s="9"/>
      <c r="H62" s="410"/>
      <c r="I62" s="9" t="s">
        <v>72</v>
      </c>
      <c r="K62" s="9" t="s">
        <v>21</v>
      </c>
      <c r="L62" s="9" t="s">
        <v>824</v>
      </c>
      <c r="M62"/>
      <c r="N62" s="16" t="s">
        <v>75</v>
      </c>
      <c r="O62" s="16" t="s">
        <v>75</v>
      </c>
      <c r="P62" s="9"/>
      <c r="Q62" s="9"/>
    </row>
    <row r="63" spans="1:25" s="341" customFormat="1" ht="23.25" customHeight="1">
      <c r="A63" s="409" t="s">
        <v>16</v>
      </c>
      <c r="B63" s="105" t="s">
        <v>825</v>
      </c>
      <c r="C63" s="9" t="s">
        <v>826</v>
      </c>
      <c r="D63" s="9" t="s">
        <v>827</v>
      </c>
      <c r="E63" s="16">
        <v>2025</v>
      </c>
      <c r="F63" s="9" t="s">
        <v>176</v>
      </c>
      <c r="G63" s="9"/>
      <c r="H63" s="410"/>
      <c r="I63" s="9" t="s">
        <v>35</v>
      </c>
      <c r="J63" s="17">
        <v>45743</v>
      </c>
      <c r="K63" s="9" t="s">
        <v>21</v>
      </c>
      <c r="L63" s="339" t="s">
        <v>828</v>
      </c>
      <c r="M63" s="339" t="s">
        <v>829</v>
      </c>
      <c r="N63" s="16">
        <v>40145399</v>
      </c>
      <c r="O63" s="16" t="s">
        <v>830</v>
      </c>
      <c r="P63" s="339" t="s">
        <v>828</v>
      </c>
      <c r="Q63" s="436"/>
    </row>
    <row r="64" spans="1:25" ht="31.7" customHeight="1">
      <c r="A64" s="436" t="s">
        <v>16</v>
      </c>
      <c r="B64" s="436" t="s">
        <v>831</v>
      </c>
      <c r="C64" s="342" t="s">
        <v>832</v>
      </c>
      <c r="D64" s="342" t="s">
        <v>833</v>
      </c>
      <c r="E64" s="341">
        <v>2025</v>
      </c>
      <c r="F64" s="9" t="s">
        <v>21</v>
      </c>
      <c r="G64" s="9"/>
      <c r="H64" s="410"/>
      <c r="I64" s="436" t="s">
        <v>35</v>
      </c>
      <c r="J64" s="17">
        <v>45734</v>
      </c>
      <c r="K64" s="436" t="s">
        <v>21</v>
      </c>
      <c r="L64" s="155" t="s">
        <v>834</v>
      </c>
      <c r="M64" s="436" t="s">
        <v>835</v>
      </c>
      <c r="N64" s="341">
        <v>40099906</v>
      </c>
      <c r="O64" s="341" t="s">
        <v>440</v>
      </c>
      <c r="P64" s="343" t="s">
        <v>834</v>
      </c>
      <c r="Q64" s="9"/>
    </row>
    <row r="65" spans="1:17" ht="33.75" customHeight="1">
      <c r="A65" s="9" t="s">
        <v>16</v>
      </c>
      <c r="B65" s="105" t="s">
        <v>836</v>
      </c>
      <c r="C65" s="9" t="s">
        <v>837</v>
      </c>
      <c r="D65" s="9" t="s">
        <v>838</v>
      </c>
      <c r="E65" s="16">
        <v>2025</v>
      </c>
      <c r="F65" s="9" t="s">
        <v>215</v>
      </c>
      <c r="G65" s="9"/>
      <c r="H65" s="410"/>
      <c r="I65" s="9" t="s">
        <v>35</v>
      </c>
      <c r="J65" s="17">
        <v>45737</v>
      </c>
      <c r="K65" s="9" t="s">
        <v>21</v>
      </c>
      <c r="L65" s="155" t="s">
        <v>839</v>
      </c>
      <c r="M65" s="9" t="s">
        <v>840</v>
      </c>
      <c r="N65" s="16">
        <v>40116295</v>
      </c>
      <c r="O65" s="16" t="s">
        <v>841</v>
      </c>
      <c r="P65" s="155" t="s">
        <v>839</v>
      </c>
      <c r="Q65" s="9"/>
    </row>
    <row r="66" spans="1:17" ht="22.7" customHeight="1">
      <c r="A66" s="9"/>
      <c r="B66" s="105"/>
      <c r="C66" s="105" t="s">
        <v>842</v>
      </c>
      <c r="D66" s="9" t="s">
        <v>843</v>
      </c>
      <c r="E66" s="16">
        <v>2025</v>
      </c>
      <c r="F66" s="9" t="s">
        <v>21</v>
      </c>
      <c r="G66" s="9"/>
      <c r="H66" s="410"/>
      <c r="I66" s="9" t="s">
        <v>35</v>
      </c>
      <c r="K66" s="9" t="s">
        <v>176</v>
      </c>
      <c r="L66" s="9"/>
      <c r="M66" s="9"/>
      <c r="P66" s="9" t="s">
        <v>844</v>
      </c>
      <c r="Q66" s="9"/>
    </row>
    <row r="67" spans="1:17" ht="43.5" customHeight="1">
      <c r="A67" s="9" t="s">
        <v>379</v>
      </c>
      <c r="B67" s="409" t="s">
        <v>64</v>
      </c>
      <c r="C67" s="414" t="s">
        <v>845</v>
      </c>
      <c r="D67" s="9" t="s">
        <v>846</v>
      </c>
      <c r="E67" s="16">
        <v>2025</v>
      </c>
      <c r="F67" s="9" t="s">
        <v>176</v>
      </c>
      <c r="G67" s="9"/>
      <c r="H67" s="410"/>
      <c r="I67" s="9" t="s">
        <v>45</v>
      </c>
      <c r="K67" s="9" t="s">
        <v>272</v>
      </c>
      <c r="L67" s="9"/>
      <c r="M67" s="9"/>
      <c r="P67" s="9"/>
      <c r="Q67" s="9"/>
    </row>
    <row r="68" spans="1:17" ht="36.950000000000003" customHeight="1">
      <c r="A68" s="9" t="s">
        <v>379</v>
      </c>
      <c r="B68" s="105" t="s">
        <v>847</v>
      </c>
      <c r="C68" s="9" t="s">
        <v>848</v>
      </c>
      <c r="D68" s="9" t="s">
        <v>849</v>
      </c>
      <c r="E68" s="16">
        <v>2026</v>
      </c>
      <c r="F68" s="9" t="s">
        <v>21</v>
      </c>
      <c r="G68" s="9"/>
      <c r="H68" s="410"/>
      <c r="I68" s="9" t="s">
        <v>35</v>
      </c>
      <c r="K68" s="9"/>
      <c r="L68" s="9"/>
      <c r="M68" s="9"/>
      <c r="P68" s="9"/>
      <c r="Q68" s="9"/>
    </row>
    <row r="69" spans="1:17" ht="33.75" customHeight="1">
      <c r="A69" s="9" t="s">
        <v>16</v>
      </c>
      <c r="B69" s="105" t="s">
        <v>850</v>
      </c>
      <c r="C69" s="418" t="s">
        <v>851</v>
      </c>
      <c r="D69" s="418" t="s">
        <v>852</v>
      </c>
      <c r="E69" s="16">
        <v>2025</v>
      </c>
      <c r="F69" s="9" t="s">
        <v>21</v>
      </c>
      <c r="G69" s="9"/>
      <c r="H69" s="410"/>
      <c r="I69" s="9" t="s">
        <v>45</v>
      </c>
      <c r="K69" s="9" t="s">
        <v>21</v>
      </c>
      <c r="L69" s="9"/>
      <c r="M69" s="9"/>
      <c r="P69" s="9"/>
      <c r="Q69" s="9"/>
    </row>
    <row r="70" spans="1:17" ht="24" customHeight="1">
      <c r="A70" s="9" t="s">
        <v>16</v>
      </c>
      <c r="B70" s="409" t="s">
        <v>853</v>
      </c>
      <c r="C70" s="409" t="s">
        <v>854</v>
      </c>
      <c r="D70" s="9" t="s">
        <v>855</v>
      </c>
      <c r="E70" s="16">
        <v>2025</v>
      </c>
      <c r="F70" s="9" t="s">
        <v>21</v>
      </c>
      <c r="G70" s="9"/>
      <c r="H70" s="410"/>
      <c r="I70" s="9" t="s">
        <v>35</v>
      </c>
      <c r="K70" s="9" t="s">
        <v>693</v>
      </c>
      <c r="L70" s="9"/>
      <c r="M70" s="89" t="s">
        <v>856</v>
      </c>
      <c r="P70" s="9"/>
      <c r="Q70" s="9"/>
    </row>
    <row r="71" spans="1:17" ht="27" customHeight="1">
      <c r="A71" s="9" t="s">
        <v>16</v>
      </c>
      <c r="B71" s="105" t="s">
        <v>64</v>
      </c>
      <c r="C71" s="9" t="s">
        <v>857</v>
      </c>
      <c r="D71" s="9" t="s">
        <v>858</v>
      </c>
      <c r="E71" s="16">
        <v>2025</v>
      </c>
      <c r="F71" s="9" t="s">
        <v>176</v>
      </c>
      <c r="G71" s="9"/>
      <c r="H71" s="410"/>
      <c r="I71" s="9" t="s">
        <v>35</v>
      </c>
      <c r="J71" s="17">
        <v>45777</v>
      </c>
      <c r="K71" s="9" t="s">
        <v>21</v>
      </c>
      <c r="L71" s="339" t="s">
        <v>859</v>
      </c>
      <c r="M71" s="158" t="s">
        <v>860</v>
      </c>
      <c r="P71" s="339" t="s">
        <v>859</v>
      </c>
      <c r="Q71" s="9"/>
    </row>
    <row r="72" spans="1:17" ht="26.25" customHeight="1">
      <c r="A72" s="9" t="s">
        <v>16</v>
      </c>
      <c r="B72" s="409" t="s">
        <v>861</v>
      </c>
      <c r="C72" s="9" t="s">
        <v>862</v>
      </c>
      <c r="D72" s="9" t="s">
        <v>863</v>
      </c>
      <c r="E72" s="16">
        <v>2025</v>
      </c>
      <c r="F72" s="9" t="s">
        <v>21</v>
      </c>
      <c r="G72" s="9"/>
      <c r="H72" s="410"/>
      <c r="I72" s="9" t="s">
        <v>45</v>
      </c>
      <c r="J72" s="17">
        <v>45717</v>
      </c>
      <c r="K72" s="9" t="s">
        <v>21</v>
      </c>
      <c r="L72" s="9"/>
      <c r="M72" s="9" t="s">
        <v>864</v>
      </c>
      <c r="N72" s="16">
        <v>40026104</v>
      </c>
      <c r="O72" s="148" t="s">
        <v>865</v>
      </c>
      <c r="P72" s="9"/>
      <c r="Q72" s="9"/>
    </row>
    <row r="73" spans="1:17" ht="27" customHeight="1">
      <c r="A73" s="9" t="s">
        <v>16</v>
      </c>
      <c r="B73" s="105" t="s">
        <v>866</v>
      </c>
      <c r="C73" s="9" t="s">
        <v>867</v>
      </c>
      <c r="D73" s="344" t="s">
        <v>868</v>
      </c>
      <c r="E73" s="16">
        <v>2025</v>
      </c>
      <c r="F73" s="9" t="s">
        <v>176</v>
      </c>
      <c r="G73" s="9"/>
      <c r="H73" s="410"/>
      <c r="I73" s="9" t="s">
        <v>35</v>
      </c>
      <c r="J73" s="17">
        <v>45755</v>
      </c>
      <c r="K73" s="9" t="s">
        <v>21</v>
      </c>
      <c r="L73" s="339" t="s">
        <v>869</v>
      </c>
      <c r="M73" s="339" t="s">
        <v>869</v>
      </c>
      <c r="N73" s="16">
        <v>40200105</v>
      </c>
      <c r="O73" s="16" t="s">
        <v>870</v>
      </c>
      <c r="P73" s="339" t="s">
        <v>869</v>
      </c>
      <c r="Q73" s="9"/>
    </row>
    <row r="74" spans="1:17" ht="63" customHeight="1">
      <c r="A74" s="9" t="s">
        <v>379</v>
      </c>
      <c r="B74" s="105" t="s">
        <v>871</v>
      </c>
      <c r="C74" s="9" t="s">
        <v>872</v>
      </c>
      <c r="D74" s="9" t="s">
        <v>873</v>
      </c>
      <c r="E74" s="16">
        <v>2025</v>
      </c>
      <c r="F74" s="9" t="s">
        <v>176</v>
      </c>
      <c r="G74" s="9"/>
      <c r="H74" s="410"/>
      <c r="I74" s="9" t="s">
        <v>35</v>
      </c>
      <c r="K74" s="9" t="s">
        <v>272</v>
      </c>
      <c r="L74" s="9"/>
      <c r="M74" s="9"/>
      <c r="P74" s="437" t="s">
        <v>874</v>
      </c>
      <c r="Q74" s="9"/>
    </row>
    <row r="75" spans="1:17" ht="51" customHeight="1">
      <c r="A75" s="9" t="s">
        <v>379</v>
      </c>
      <c r="B75" s="105" t="s">
        <v>80</v>
      </c>
      <c r="C75" s="9" t="s">
        <v>875</v>
      </c>
      <c r="D75" s="9" t="s">
        <v>876</v>
      </c>
      <c r="E75" s="16">
        <v>2025</v>
      </c>
      <c r="F75" s="9" t="s">
        <v>176</v>
      </c>
      <c r="G75" s="9"/>
      <c r="H75" s="410"/>
      <c r="I75" s="9" t="s">
        <v>35</v>
      </c>
      <c r="K75" s="9" t="s">
        <v>272</v>
      </c>
      <c r="L75" s="9"/>
      <c r="M75" s="9"/>
      <c r="P75" s="437" t="s">
        <v>877</v>
      </c>
      <c r="Q75" s="9"/>
    </row>
    <row r="76" spans="1:17" ht="36" customHeight="1">
      <c r="A76" s="9" t="s">
        <v>16</v>
      </c>
      <c r="B76" s="105" t="s">
        <v>825</v>
      </c>
      <c r="C76" s="9" t="s">
        <v>878</v>
      </c>
      <c r="D76" s="160" t="s">
        <v>879</v>
      </c>
      <c r="E76" s="16">
        <v>2025</v>
      </c>
      <c r="F76" s="9" t="s">
        <v>176</v>
      </c>
      <c r="G76" s="9"/>
      <c r="H76" s="410"/>
      <c r="I76" s="9" t="s">
        <v>35</v>
      </c>
      <c r="J76" s="17">
        <v>45743</v>
      </c>
      <c r="K76" s="9" t="s">
        <v>21</v>
      </c>
      <c r="L76" s="154" t="s">
        <v>880</v>
      </c>
      <c r="M76" s="161" t="s">
        <v>881</v>
      </c>
      <c r="N76" s="16">
        <v>40145399</v>
      </c>
      <c r="O76" s="16" t="s">
        <v>830</v>
      </c>
      <c r="P76" s="154" t="s">
        <v>880</v>
      </c>
      <c r="Q76" s="9"/>
    </row>
    <row r="77" spans="1:17" ht="30" customHeight="1">
      <c r="A77" s="105" t="s">
        <v>16</v>
      </c>
      <c r="B77" s="105" t="s">
        <v>882</v>
      </c>
      <c r="C77" s="9" t="s">
        <v>883</v>
      </c>
      <c r="D77" s="9" t="s">
        <v>884</v>
      </c>
      <c r="E77" s="16">
        <v>2025</v>
      </c>
      <c r="F77" s="9" t="s">
        <v>176</v>
      </c>
      <c r="G77" s="9"/>
      <c r="H77" s="410"/>
      <c r="I77" s="9" t="s">
        <v>35</v>
      </c>
      <c r="J77" s="419">
        <v>45853</v>
      </c>
      <c r="K77" s="9" t="s">
        <v>21</v>
      </c>
      <c r="L77" s="340" t="s">
        <v>885</v>
      </c>
      <c r="M77" s="390" t="s">
        <v>886</v>
      </c>
      <c r="N77" s="16">
        <v>40663355</v>
      </c>
      <c r="P77" s="340" t="s">
        <v>885</v>
      </c>
      <c r="Q77" s="9"/>
    </row>
    <row r="78" spans="1:17" ht="25.5" customHeight="1">
      <c r="A78" s="9" t="s">
        <v>16</v>
      </c>
      <c r="B78" s="105" t="s">
        <v>536</v>
      </c>
      <c r="C78" s="105" t="s">
        <v>887</v>
      </c>
      <c r="D78" s="9" t="s">
        <v>888</v>
      </c>
      <c r="E78" s="16">
        <v>2025</v>
      </c>
      <c r="F78" s="9" t="s">
        <v>21</v>
      </c>
      <c r="G78" s="9"/>
      <c r="H78" s="410"/>
      <c r="I78" s="9" t="s">
        <v>35</v>
      </c>
      <c r="J78" s="17">
        <v>45876</v>
      </c>
      <c r="K78" t="s">
        <v>21</v>
      </c>
      <c r="L78" s="9"/>
      <c r="M78" s="9" t="s">
        <v>889</v>
      </c>
      <c r="P78" s="9"/>
      <c r="Q78" s="9"/>
    </row>
    <row r="79" spans="1:17" ht="25.5" customHeight="1">
      <c r="A79" s="9" t="s">
        <v>16</v>
      </c>
      <c r="B79" s="105" t="s">
        <v>890</v>
      </c>
      <c r="C79" s="9" t="s">
        <v>891</v>
      </c>
      <c r="D79" s="390" t="s">
        <v>892</v>
      </c>
      <c r="E79" s="16">
        <v>2025</v>
      </c>
      <c r="F79" s="9" t="s">
        <v>21</v>
      </c>
      <c r="G79" s="9"/>
      <c r="H79" s="410"/>
      <c r="I79" s="9" t="s">
        <v>35</v>
      </c>
      <c r="J79" s="17">
        <v>45761</v>
      </c>
      <c r="K79" s="9" t="s">
        <v>21</v>
      </c>
      <c r="L79" s="9"/>
      <c r="M79" s="339" t="s">
        <v>893</v>
      </c>
      <c r="N79" s="16">
        <v>40228197</v>
      </c>
      <c r="O79" s="16" t="s">
        <v>894</v>
      </c>
      <c r="P79" s="9"/>
      <c r="Q79" s="9"/>
    </row>
    <row r="80" spans="1:17" ht="45.95" customHeight="1">
      <c r="A80" s="9" t="s">
        <v>379</v>
      </c>
      <c r="B80" s="105" t="s">
        <v>64</v>
      </c>
      <c r="C80" s="420" t="s">
        <v>895</v>
      </c>
      <c r="D80" s="409" t="s">
        <v>896</v>
      </c>
      <c r="E80" s="16">
        <v>2025</v>
      </c>
      <c r="F80" s="9" t="s">
        <v>176</v>
      </c>
      <c r="G80" s="9"/>
      <c r="H80" s="410"/>
      <c r="I80" s="9" t="s">
        <v>35</v>
      </c>
      <c r="K80" t="s">
        <v>272</v>
      </c>
      <c r="L80" s="9"/>
      <c r="M80" s="9"/>
      <c r="P80" s="9"/>
      <c r="Q80" s="9"/>
    </row>
    <row r="81" spans="1:17" ht="23.25" customHeight="1">
      <c r="A81" s="9" t="s">
        <v>16</v>
      </c>
      <c r="B81" s="105" t="s">
        <v>64</v>
      </c>
      <c r="C81" s="105" t="s">
        <v>897</v>
      </c>
      <c r="D81" s="9" t="s">
        <v>898</v>
      </c>
      <c r="E81" s="16">
        <v>2025</v>
      </c>
      <c r="F81" s="9" t="s">
        <v>21</v>
      </c>
      <c r="G81" s="9"/>
      <c r="H81" s="410"/>
      <c r="I81" s="9" t="s">
        <v>35</v>
      </c>
      <c r="J81" s="17">
        <v>45817</v>
      </c>
      <c r="K81" s="9" t="s">
        <v>21</v>
      </c>
      <c r="L81" s="9"/>
      <c r="M81" s="155" t="s">
        <v>899</v>
      </c>
      <c r="N81" s="16">
        <v>40494224</v>
      </c>
      <c r="P81" s="9" t="s">
        <v>900</v>
      </c>
      <c r="Q81" s="9"/>
    </row>
    <row r="82" spans="1:17" ht="24" customHeight="1">
      <c r="A82" s="9" t="s">
        <v>16</v>
      </c>
      <c r="B82" s="105" t="s">
        <v>901</v>
      </c>
      <c r="C82" s="105" t="s">
        <v>902</v>
      </c>
      <c r="D82" s="9" t="s">
        <v>903</v>
      </c>
      <c r="E82" s="16">
        <v>2025</v>
      </c>
      <c r="F82" s="9" t="s">
        <v>21</v>
      </c>
      <c r="G82" s="9"/>
      <c r="H82" s="410"/>
      <c r="I82" s="9" t="s">
        <v>35</v>
      </c>
      <c r="J82" s="17">
        <v>45811</v>
      </c>
      <c r="K82" s="9" t="s">
        <v>21</v>
      </c>
      <c r="L82" s="339" t="s">
        <v>904</v>
      </c>
      <c r="M82" s="155" t="s">
        <v>905</v>
      </c>
      <c r="N82" s="16">
        <v>40462551</v>
      </c>
      <c r="P82" s="339" t="s">
        <v>904</v>
      </c>
      <c r="Q82" s="9"/>
    </row>
    <row r="83" spans="1:17" ht="25.5">
      <c r="A83" s="9" t="s">
        <v>379</v>
      </c>
      <c r="B83" s="105" t="s">
        <v>906</v>
      </c>
      <c r="C83" s="9" t="s">
        <v>907</v>
      </c>
      <c r="D83" s="9" t="s">
        <v>908</v>
      </c>
      <c r="E83" s="16">
        <v>2023</v>
      </c>
      <c r="F83" s="9" t="s">
        <v>21</v>
      </c>
      <c r="G83" s="9"/>
      <c r="H83" s="410"/>
      <c r="I83" s="9"/>
      <c r="J83" s="17" t="s">
        <v>73</v>
      </c>
      <c r="K83" t="s">
        <v>75</v>
      </c>
      <c r="L83" s="9"/>
      <c r="M83" s="9"/>
      <c r="P83" s="9"/>
      <c r="Q83" s="9"/>
    </row>
    <row r="84" spans="1:17" ht="34.5" customHeight="1">
      <c r="A84" s="9" t="s">
        <v>16</v>
      </c>
      <c r="B84" s="105" t="s">
        <v>64</v>
      </c>
      <c r="C84" s="418" t="s">
        <v>797</v>
      </c>
      <c r="D84" s="418" t="s">
        <v>909</v>
      </c>
      <c r="E84" s="16">
        <v>2025</v>
      </c>
      <c r="F84" s="9" t="s">
        <v>21</v>
      </c>
      <c r="G84" s="9"/>
      <c r="H84" s="410"/>
      <c r="I84" s="9" t="s">
        <v>35</v>
      </c>
      <c r="J84" s="17">
        <v>45864</v>
      </c>
      <c r="K84" t="s">
        <v>21</v>
      </c>
      <c r="L84" s="339" t="s">
        <v>910</v>
      </c>
      <c r="M84" s="155" t="s">
        <v>911</v>
      </c>
      <c r="N84" s="16">
        <v>40716146</v>
      </c>
      <c r="O84" s="16" t="s">
        <v>912</v>
      </c>
      <c r="P84" s="339" t="s">
        <v>910</v>
      </c>
      <c r="Q84" s="9"/>
    </row>
    <row r="85" spans="1:17" ht="43.5" customHeight="1">
      <c r="A85" s="9" t="s">
        <v>16</v>
      </c>
      <c r="B85" s="105" t="s">
        <v>64</v>
      </c>
      <c r="C85" s="9" t="s">
        <v>797</v>
      </c>
      <c r="D85" s="9" t="s">
        <v>913</v>
      </c>
      <c r="E85" s="16">
        <v>2025</v>
      </c>
      <c r="F85" s="9" t="s">
        <v>21</v>
      </c>
      <c r="G85" s="9"/>
      <c r="H85" s="410"/>
      <c r="I85" s="9" t="s">
        <v>35</v>
      </c>
      <c r="J85" s="17">
        <v>45864</v>
      </c>
      <c r="K85" t="s">
        <v>21</v>
      </c>
      <c r="L85" s="339" t="s">
        <v>914</v>
      </c>
      <c r="M85" s="158" t="s">
        <v>915</v>
      </c>
      <c r="N85" s="16">
        <v>40716145</v>
      </c>
      <c r="P85" s="339" t="s">
        <v>914</v>
      </c>
      <c r="Q85" s="9"/>
    </row>
    <row r="86" spans="1:17" ht="41.25" customHeight="1">
      <c r="A86" s="105" t="s">
        <v>16</v>
      </c>
      <c r="B86" s="105" t="s">
        <v>916</v>
      </c>
      <c r="C86" s="9" t="s">
        <v>797</v>
      </c>
      <c r="D86" s="418" t="s">
        <v>917</v>
      </c>
      <c r="E86" s="16">
        <v>2025</v>
      </c>
      <c r="F86" s="9" t="s">
        <v>21</v>
      </c>
      <c r="G86" s="9"/>
      <c r="H86" s="410"/>
      <c r="I86" s="9" t="s">
        <v>35</v>
      </c>
      <c r="J86" s="17">
        <v>45835</v>
      </c>
      <c r="K86" s="9" t="s">
        <v>21</v>
      </c>
      <c r="L86" s="158" t="s">
        <v>918</v>
      </c>
      <c r="M86" s="155" t="s">
        <v>919</v>
      </c>
      <c r="N86" s="16">
        <v>40727315</v>
      </c>
      <c r="O86" s="16" t="s">
        <v>920</v>
      </c>
      <c r="P86" s="158" t="s">
        <v>918</v>
      </c>
      <c r="Q86" s="9"/>
    </row>
    <row r="87" spans="1:17" ht="37.5" customHeight="1">
      <c r="A87" s="9" t="s">
        <v>16</v>
      </c>
      <c r="B87" s="105" t="s">
        <v>20</v>
      </c>
      <c r="C87" s="390" t="s">
        <v>921</v>
      </c>
      <c r="D87" s="345" t="s">
        <v>922</v>
      </c>
      <c r="E87" s="16">
        <v>2025</v>
      </c>
      <c r="F87" s="9" t="s">
        <v>21</v>
      </c>
      <c r="G87" s="9"/>
      <c r="H87" s="410"/>
      <c r="I87" s="9" t="s">
        <v>35</v>
      </c>
      <c r="J87" s="17">
        <v>45827</v>
      </c>
      <c r="K87" s="9" t="s">
        <v>21</v>
      </c>
      <c r="L87" s="339" t="s">
        <v>923</v>
      </c>
      <c r="M87" s="155" t="s">
        <v>924</v>
      </c>
      <c r="N87" s="16">
        <v>40531798</v>
      </c>
      <c r="O87" s="16" t="s">
        <v>925</v>
      </c>
      <c r="P87" s="339" t="s">
        <v>923</v>
      </c>
      <c r="Q87" s="9"/>
    </row>
    <row r="88" spans="1:17" ht="37.5" customHeight="1">
      <c r="A88" s="9" t="s">
        <v>16</v>
      </c>
      <c r="B88" s="105" t="s">
        <v>926</v>
      </c>
      <c r="C88" s="412" t="s">
        <v>927</v>
      </c>
      <c r="D88" s="417" t="s">
        <v>928</v>
      </c>
      <c r="E88" s="16">
        <v>2025</v>
      </c>
      <c r="F88" s="9" t="s">
        <v>176</v>
      </c>
      <c r="G88" s="9"/>
      <c r="H88" s="410"/>
      <c r="I88" s="9" t="s">
        <v>35</v>
      </c>
      <c r="K88" s="9" t="s">
        <v>21</v>
      </c>
      <c r="L88" s="9"/>
      <c r="M88" s="346" t="s">
        <v>929</v>
      </c>
      <c r="N88" s="438">
        <v>40797217</v>
      </c>
      <c r="O88" t="s">
        <v>930</v>
      </c>
      <c r="P88" s="9"/>
      <c r="Q88" s="9"/>
    </row>
    <row r="89" spans="1:17" ht="63" customHeight="1">
      <c r="A89" s="9" t="s">
        <v>16</v>
      </c>
      <c r="B89" s="105" t="s">
        <v>64</v>
      </c>
      <c r="C89" s="439" t="s">
        <v>931</v>
      </c>
      <c r="D89" s="390" t="s">
        <v>932</v>
      </c>
      <c r="E89" s="16">
        <v>2025</v>
      </c>
      <c r="F89" s="9" t="s">
        <v>21</v>
      </c>
      <c r="G89" s="9"/>
      <c r="H89" s="410"/>
      <c r="I89" s="9" t="s">
        <v>35</v>
      </c>
      <c r="J89" s="17" t="s">
        <v>73</v>
      </c>
      <c r="K89" s="9" t="s">
        <v>21</v>
      </c>
      <c r="L89" s="9"/>
      <c r="M89" s="89" t="s">
        <v>933</v>
      </c>
      <c r="N89" s="16">
        <v>41014761</v>
      </c>
      <c r="O89" s="16" t="s">
        <v>934</v>
      </c>
      <c r="P89" s="9" t="s">
        <v>935</v>
      </c>
      <c r="Q89" s="9"/>
    </row>
    <row r="90" spans="1:17" ht="38.25" customHeight="1">
      <c r="A90" s="9" t="s">
        <v>16</v>
      </c>
      <c r="B90" s="105" t="s">
        <v>42</v>
      </c>
      <c r="C90" s="412" t="s">
        <v>936</v>
      </c>
      <c r="D90" s="9" t="s">
        <v>937</v>
      </c>
      <c r="E90" s="16">
        <v>2026</v>
      </c>
      <c r="F90" s="9" t="s">
        <v>21</v>
      </c>
      <c r="G90" s="9"/>
      <c r="H90" s="410"/>
      <c r="I90" s="9" t="s">
        <v>35</v>
      </c>
      <c r="K90" s="9" t="s">
        <v>693</v>
      </c>
      <c r="L90" s="9"/>
      <c r="M90" s="486" t="s">
        <v>938</v>
      </c>
      <c r="P90" s="9" t="s">
        <v>939</v>
      </c>
      <c r="Q90" s="9"/>
    </row>
    <row r="91" spans="1:17" ht="43.5" customHeight="1">
      <c r="A91" s="9" t="s">
        <v>16</v>
      </c>
      <c r="B91" s="105" t="s">
        <v>20</v>
      </c>
      <c r="C91" s="412" t="s">
        <v>940</v>
      </c>
      <c r="D91" s="9" t="s">
        <v>941</v>
      </c>
      <c r="E91" s="16">
        <v>2026</v>
      </c>
      <c r="F91" s="9" t="s">
        <v>21</v>
      </c>
      <c r="G91" s="9"/>
      <c r="H91" s="410"/>
      <c r="I91" s="9" t="s">
        <v>20</v>
      </c>
      <c r="K91" s="9" t="s">
        <v>21</v>
      </c>
      <c r="L91" s="9"/>
      <c r="M91" s="221" t="s">
        <v>942</v>
      </c>
      <c r="P91" s="9" t="s">
        <v>943</v>
      </c>
      <c r="Q91" s="9"/>
    </row>
    <row r="92" spans="1:17" ht="36.950000000000003" customHeight="1">
      <c r="A92" s="9" t="s">
        <v>398</v>
      </c>
      <c r="B92" s="105" t="s">
        <v>64</v>
      </c>
      <c r="C92" s="412" t="s">
        <v>944</v>
      </c>
      <c r="D92" s="9" t="s">
        <v>945</v>
      </c>
      <c r="E92" s="16">
        <v>2026</v>
      </c>
      <c r="F92" s="9" t="s">
        <v>21</v>
      </c>
      <c r="G92" s="9"/>
      <c r="H92" s="410"/>
      <c r="I92" s="9" t="s">
        <v>35</v>
      </c>
      <c r="K92" s="9" t="s">
        <v>21</v>
      </c>
      <c r="L92" s="9"/>
      <c r="M92" s="487" t="s">
        <v>946</v>
      </c>
      <c r="P92" s="9" t="s">
        <v>947</v>
      </c>
      <c r="Q92" s="9"/>
    </row>
    <row r="93" spans="1:17" ht="25.5">
      <c r="A93" s="366" t="s">
        <v>16</v>
      </c>
      <c r="B93" s="47" t="s">
        <v>948</v>
      </c>
      <c r="C93" s="21" t="s">
        <v>949</v>
      </c>
      <c r="D93" s="9" t="s">
        <v>950</v>
      </c>
      <c r="E93" s="16">
        <v>2025</v>
      </c>
      <c r="F93" s="9"/>
      <c r="G93" s="9"/>
      <c r="H93" s="410"/>
      <c r="I93" s="9" t="s">
        <v>35</v>
      </c>
      <c r="J93" s="17">
        <v>45901</v>
      </c>
      <c r="K93" s="9" t="s">
        <v>21</v>
      </c>
      <c r="L93" s="9"/>
      <c r="M93" s="220" t="s">
        <v>948</v>
      </c>
      <c r="N93" s="16">
        <v>40359245</v>
      </c>
      <c r="O93" s="16" t="s">
        <v>951</v>
      </c>
      <c r="P93" s="9"/>
      <c r="Q93" s="9"/>
    </row>
    <row r="94" spans="1:17" ht="33.75" customHeight="1">
      <c r="A94" s="9" t="s">
        <v>379</v>
      </c>
      <c r="B94" s="105" t="s">
        <v>103</v>
      </c>
      <c r="C94" s="390" t="s">
        <v>952</v>
      </c>
      <c r="D94" s="417" t="s">
        <v>953</v>
      </c>
      <c r="E94" s="16">
        <v>2025</v>
      </c>
      <c r="F94" s="9"/>
      <c r="G94" s="9"/>
      <c r="H94" s="410"/>
      <c r="I94" s="9" t="s">
        <v>35</v>
      </c>
      <c r="K94" s="9"/>
      <c r="L94" s="9"/>
      <c r="M94" s="9"/>
      <c r="P94" s="9"/>
      <c r="Q94" s="9"/>
    </row>
    <row r="95" spans="1:17" ht="19.5" customHeight="1">
      <c r="A95" s="9" t="s">
        <v>16</v>
      </c>
      <c r="B95" s="105" t="s">
        <v>103</v>
      </c>
      <c r="C95" s="414" t="s">
        <v>954</v>
      </c>
      <c r="D95" s="9" t="s">
        <v>955</v>
      </c>
      <c r="E95" s="16">
        <v>2025</v>
      </c>
      <c r="F95" s="9"/>
      <c r="G95" s="9"/>
      <c r="H95" s="410"/>
      <c r="I95" s="9" t="s">
        <v>35</v>
      </c>
      <c r="K95" s="9" t="s">
        <v>21</v>
      </c>
      <c r="L95" s="9"/>
      <c r="M95" s="9"/>
      <c r="P95" s="9"/>
      <c r="Q95" s="9"/>
    </row>
    <row r="96" spans="1:17" ht="49.5" customHeight="1">
      <c r="A96" s="9" t="s">
        <v>16</v>
      </c>
      <c r="B96" s="409" t="s">
        <v>64</v>
      </c>
      <c r="C96" s="9" t="s">
        <v>956</v>
      </c>
      <c r="D96" s="9" t="s">
        <v>957</v>
      </c>
      <c r="E96" s="16">
        <v>2025</v>
      </c>
      <c r="F96" s="9"/>
      <c r="G96" s="9"/>
      <c r="H96" s="410"/>
      <c r="I96" s="9" t="s">
        <v>35</v>
      </c>
      <c r="K96" s="9" t="s">
        <v>21</v>
      </c>
      <c r="L96" s="9"/>
      <c r="M96" s="9" t="s">
        <v>958</v>
      </c>
      <c r="N96" s="16">
        <v>40957308</v>
      </c>
      <c r="P96" s="9"/>
      <c r="Q96" s="9"/>
    </row>
    <row r="97" spans="1:17" ht="35.25" customHeight="1">
      <c r="A97" s="9" t="s">
        <v>16</v>
      </c>
      <c r="B97" s="105" t="s">
        <v>64</v>
      </c>
      <c r="C97" s="414" t="s">
        <v>959</v>
      </c>
      <c r="D97" s="9" t="s">
        <v>960</v>
      </c>
      <c r="E97" s="16">
        <v>2026</v>
      </c>
      <c r="F97" s="9"/>
      <c r="G97" s="9"/>
      <c r="H97" s="410"/>
      <c r="I97" s="9" t="s">
        <v>35</v>
      </c>
      <c r="K97" s="9" t="s">
        <v>21</v>
      </c>
      <c r="L97" s="9"/>
      <c r="M97" s="9" t="s">
        <v>961</v>
      </c>
      <c r="N97" s="16">
        <v>41274026</v>
      </c>
      <c r="P97" s="221" t="s">
        <v>962</v>
      </c>
      <c r="Q97" s="9"/>
    </row>
    <row r="98" spans="1:17" ht="69" customHeight="1">
      <c r="A98" s="9" t="s">
        <v>16</v>
      </c>
      <c r="B98" s="105" t="s">
        <v>64</v>
      </c>
      <c r="C98" s="414" t="s">
        <v>963</v>
      </c>
      <c r="D98" s="9" t="s">
        <v>964</v>
      </c>
      <c r="E98" s="16">
        <v>2025</v>
      </c>
      <c r="F98" s="9"/>
      <c r="G98" s="9"/>
      <c r="H98" s="410"/>
      <c r="I98" s="9" t="s">
        <v>35</v>
      </c>
      <c r="K98" s="9" t="s">
        <v>21</v>
      </c>
      <c r="L98" s="9"/>
      <c r="M98" s="9"/>
      <c r="P98" s="220" t="s">
        <v>965</v>
      </c>
      <c r="Q98" s="9"/>
    </row>
    <row r="99" spans="1:17" ht="80.25" customHeight="1">
      <c r="A99" s="9" t="s">
        <v>16</v>
      </c>
      <c r="B99" s="105" t="s">
        <v>64</v>
      </c>
      <c r="C99" s="414" t="s">
        <v>966</v>
      </c>
      <c r="D99" s="9" t="s">
        <v>967</v>
      </c>
      <c r="E99" s="16">
        <v>2025</v>
      </c>
      <c r="F99" s="9"/>
      <c r="G99" s="9"/>
      <c r="H99" s="410"/>
      <c r="I99" s="9" t="s">
        <v>35</v>
      </c>
      <c r="K99" s="9" t="s">
        <v>21</v>
      </c>
      <c r="L99" s="9"/>
      <c r="M99" s="9"/>
      <c r="P99" s="220" t="s">
        <v>968</v>
      </c>
      <c r="Q99" s="9"/>
    </row>
    <row r="100" spans="1:17" ht="63" customHeight="1">
      <c r="A100" s="9" t="s">
        <v>379</v>
      </c>
      <c r="B100" s="105"/>
      <c r="C100" s="9" t="s">
        <v>969</v>
      </c>
      <c r="D100" s="9" t="s">
        <v>970</v>
      </c>
      <c r="E100" s="16">
        <v>2026</v>
      </c>
      <c r="F100" s="9"/>
      <c r="G100" s="9"/>
      <c r="H100" s="410"/>
      <c r="I100" s="9"/>
      <c r="K100" s="9"/>
      <c r="L100" s="9"/>
      <c r="M100" s="9"/>
      <c r="P100" s="9"/>
      <c r="Q100" s="9"/>
    </row>
    <row r="101" spans="1:17" ht="54.95" customHeight="1">
      <c r="A101" s="9" t="s">
        <v>16</v>
      </c>
      <c r="B101" s="105" t="s">
        <v>206</v>
      </c>
      <c r="C101" s="463" t="s">
        <v>971</v>
      </c>
      <c r="D101" s="9" t="s">
        <v>972</v>
      </c>
      <c r="E101" s="16">
        <v>2026</v>
      </c>
      <c r="F101" s="9"/>
      <c r="G101" s="9"/>
      <c r="H101" s="410"/>
      <c r="I101" s="9" t="s">
        <v>35</v>
      </c>
      <c r="K101" s="9" t="s">
        <v>693</v>
      </c>
      <c r="L101" s="9"/>
      <c r="M101" s="488" t="s">
        <v>973</v>
      </c>
      <c r="P101" s="221" t="s">
        <v>974</v>
      </c>
      <c r="Q101" s="9"/>
    </row>
    <row r="102" spans="1:17" ht="63" customHeight="1">
      <c r="A102" s="9" t="s">
        <v>398</v>
      </c>
      <c r="B102" s="105" t="s">
        <v>975</v>
      </c>
      <c r="C102" s="414" t="s">
        <v>976</v>
      </c>
      <c r="D102" s="9" t="s">
        <v>977</v>
      </c>
      <c r="E102" s="16">
        <v>2025</v>
      </c>
      <c r="F102" s="9"/>
      <c r="G102" s="9"/>
      <c r="H102" s="410"/>
      <c r="I102" s="9" t="s">
        <v>35</v>
      </c>
      <c r="K102" s="9" t="s">
        <v>176</v>
      </c>
      <c r="L102" s="9"/>
      <c r="M102" s="9"/>
      <c r="P102" s="9"/>
      <c r="Q102" s="9"/>
    </row>
    <row r="103" spans="1:17" ht="63" customHeight="1">
      <c r="A103" s="16" t="s">
        <v>16</v>
      </c>
      <c r="B103" s="47" t="s">
        <v>64</v>
      </c>
      <c r="C103" s="9" t="s">
        <v>978</v>
      </c>
      <c r="D103" s="9" t="s">
        <v>979</v>
      </c>
      <c r="E103" s="16">
        <v>2026</v>
      </c>
      <c r="I103" s="16" t="s">
        <v>35</v>
      </c>
      <c r="K103" s="16" t="s">
        <v>21</v>
      </c>
      <c r="P103" s="221" t="s">
        <v>980</v>
      </c>
    </row>
    <row r="104" spans="1:17" ht="36" customHeight="1">
      <c r="A104" s="16" t="s">
        <v>379</v>
      </c>
      <c r="B104" s="47" t="s">
        <v>981</v>
      </c>
      <c r="C104" s="9" t="s">
        <v>982</v>
      </c>
      <c r="D104" s="9" t="s">
        <v>983</v>
      </c>
      <c r="E104" s="16">
        <v>2026</v>
      </c>
      <c r="I104" s="16" t="s">
        <v>35</v>
      </c>
      <c r="P104" s="16" t="s">
        <v>984</v>
      </c>
    </row>
    <row r="105" spans="1:17" ht="54" customHeight="1">
      <c r="A105" s="16" t="s">
        <v>379</v>
      </c>
      <c r="B105" s="47" t="s">
        <v>64</v>
      </c>
      <c r="C105" s="9" t="s">
        <v>985</v>
      </c>
      <c r="D105" s="9" t="s">
        <v>986</v>
      </c>
      <c r="E105" s="16">
        <v>2026</v>
      </c>
      <c r="I105" s="16" t="s">
        <v>35</v>
      </c>
    </row>
    <row r="106" spans="1:17" ht="81" customHeight="1">
      <c r="A106" s="366" t="s">
        <v>398</v>
      </c>
      <c r="B106" s="47" t="s">
        <v>882</v>
      </c>
      <c r="C106" s="266" t="s">
        <v>987</v>
      </c>
      <c r="D106" s="348" t="s">
        <v>988</v>
      </c>
      <c r="E106" s="16">
        <v>2026</v>
      </c>
      <c r="F106" s="16" t="s">
        <v>35</v>
      </c>
      <c r="G106" s="16" t="s">
        <v>176</v>
      </c>
      <c r="H106" s="16"/>
      <c r="I106" s="25" t="s">
        <v>35</v>
      </c>
      <c r="K106" s="16" t="s">
        <v>272</v>
      </c>
      <c r="P106" s="16" t="s">
        <v>989</v>
      </c>
    </row>
    <row r="107" spans="1:17" ht="74.45" customHeight="1">
      <c r="A107" s="16" t="s">
        <v>379</v>
      </c>
      <c r="B107" s="47" t="s">
        <v>20</v>
      </c>
      <c r="C107" s="386" t="s">
        <v>990</v>
      </c>
      <c r="D107" s="53" t="s">
        <v>991</v>
      </c>
      <c r="E107" s="16">
        <v>2026</v>
      </c>
      <c r="I107" s="16" t="s">
        <v>35</v>
      </c>
    </row>
    <row r="108" spans="1:17" ht="63.75">
      <c r="A108" s="16" t="s">
        <v>398</v>
      </c>
      <c r="B108" s="47" t="s">
        <v>992</v>
      </c>
      <c r="C108" s="9" t="s">
        <v>993</v>
      </c>
      <c r="D108" s="9" t="s">
        <v>994</v>
      </c>
      <c r="E108" s="16">
        <v>2026</v>
      </c>
      <c r="I108" s="16" t="s">
        <v>35</v>
      </c>
    </row>
    <row r="109" spans="1:17" ht="63" customHeight="1">
      <c r="A109" s="16" t="s">
        <v>379</v>
      </c>
      <c r="B109" s="47" t="s">
        <v>995</v>
      </c>
      <c r="C109" s="9" t="s">
        <v>996</v>
      </c>
      <c r="D109" s="9" t="s">
        <v>997</v>
      </c>
      <c r="E109" s="16">
        <v>2026</v>
      </c>
      <c r="I109" s="16" t="s">
        <v>35</v>
      </c>
    </row>
    <row r="110" spans="1:17" ht="240.75" customHeight="1">
      <c r="A110" s="365" t="s">
        <v>379</v>
      </c>
      <c r="B110" s="371" t="s">
        <v>998</v>
      </c>
      <c r="C110" s="9" t="s">
        <v>999</v>
      </c>
      <c r="D110" s="9" t="s">
        <v>1000</v>
      </c>
      <c r="E110" s="16">
        <v>2026</v>
      </c>
      <c r="I110" s="16" t="s">
        <v>35</v>
      </c>
    </row>
    <row r="111" spans="1:17" ht="63" customHeight="1">
      <c r="A111" s="365" t="s">
        <v>398</v>
      </c>
      <c r="B111" s="371" t="s">
        <v>1001</v>
      </c>
      <c r="C111" s="9" t="s">
        <v>1002</v>
      </c>
      <c r="D111" s="9" t="s">
        <v>1003</v>
      </c>
      <c r="E111" s="16">
        <v>2026</v>
      </c>
      <c r="I111" s="16" t="s">
        <v>35</v>
      </c>
    </row>
    <row r="112" spans="1:17" ht="63" customHeight="1">
      <c r="A112" s="365" t="s">
        <v>379</v>
      </c>
      <c r="B112" s="371" t="s">
        <v>64</v>
      </c>
      <c r="C112" s="9" t="s">
        <v>1004</v>
      </c>
      <c r="D112" s="9" t="s">
        <v>1005</v>
      </c>
      <c r="E112" s="16">
        <v>2026</v>
      </c>
      <c r="F112" s="16" t="s">
        <v>35</v>
      </c>
      <c r="I112" s="16" t="s">
        <v>35</v>
      </c>
    </row>
    <row r="113" spans="1:9" ht="63" customHeight="1">
      <c r="A113" s="491" t="s">
        <v>379</v>
      </c>
      <c r="B113" s="492" t="s">
        <v>64</v>
      </c>
      <c r="C113" s="490" t="s">
        <v>1006</v>
      </c>
      <c r="D113" s="414" t="s">
        <v>1007</v>
      </c>
      <c r="E113" s="16">
        <v>2026</v>
      </c>
      <c r="I113" s="16" t="s">
        <v>35</v>
      </c>
    </row>
    <row r="114" spans="1:9" ht="63" customHeight="1">
      <c r="A114" s="365"/>
      <c r="B114" s="371"/>
    </row>
    <row r="115" spans="1:9" ht="63" customHeight="1">
      <c r="A115" s="365"/>
      <c r="B115" s="371"/>
    </row>
    <row r="116" spans="1:9" ht="63" customHeight="1">
      <c r="A116" s="365"/>
      <c r="B116" s="371"/>
    </row>
  </sheetData>
  <autoFilter ref="A1:P113" xr:uid="{00000000-0001-0000-0500-000000000000}">
    <filterColumn colId="1">
      <filters>
        <filter val="Annals of Internal Medicine"/>
      </filters>
    </filterColumn>
  </autoFilter>
  <dataValidations count="1">
    <dataValidation type="list" allowBlank="1" showInputMessage="1" showErrorMessage="1" sqref="I414:I1048576 I2:I3" xr:uid="{00000000-0002-0000-0500-000000000000}">
      <formula1>#REF!</formula1>
    </dataValidation>
  </dataValidations>
  <hyperlinks>
    <hyperlink ref="M29" r:id="rId1" xr:uid="{D5EA256D-2E19-4F2E-AAAE-9552DAE43252}"/>
    <hyperlink ref="M36" r:id="rId2" xr:uid="{6ADEA58D-769A-49E0-A699-7518595E11FB}"/>
    <hyperlink ref="M38" r:id="rId3" xr:uid="{06C6B7B8-2FF7-434D-9F17-BD74C6918EF7}"/>
    <hyperlink ref="M39" r:id="rId4" xr:uid="{16BFD31A-7AFE-4D57-956E-7B67F9112D19}"/>
    <hyperlink ref="M46" r:id="rId5" xr:uid="{A0F6137A-F6EC-463B-A358-FDD5B7DC8814}"/>
    <hyperlink ref="L53" r:id="rId6" xr:uid="{BC5DD8FD-8688-49E1-88C5-34F634952959}"/>
    <hyperlink ref="L54" r:id="rId7" xr:uid="{78F15ABB-CA55-46AF-A272-CA5F0C5D572C}"/>
    <hyperlink ref="L55" r:id="rId8" xr:uid="{A5623992-4BF6-4C96-B486-8C3256810349}"/>
    <hyperlink ref="L50" r:id="rId9" xr:uid="{6A61F956-8F39-46A5-AA30-B8526EC044C2}"/>
    <hyperlink ref="L49" r:id="rId10" xr:uid="{87BFA792-138C-4256-8812-84CA453564AE}"/>
    <hyperlink ref="M57" r:id="rId11" display="https://doi.org/10.1016/j.vaccine.2024.126667" xr:uid="{949FBAB4-7924-4362-B907-8934E3FA4F60}"/>
    <hyperlink ref="M27" r:id="rId12" xr:uid="{ADEB4802-0A66-49D3-8C7C-2BD7CE348514}"/>
    <hyperlink ref="L30" r:id="rId13" xr:uid="{0113518D-983E-49E2-84AC-D93FEE4AE0C5}"/>
    <hyperlink ref="L65" r:id="rId14" xr:uid="{0A233605-63A9-4D6C-8D3B-B5CE709E9E91}"/>
    <hyperlink ref="L56" r:id="rId15" xr:uid="{02B3DFC3-92BC-4F8E-A5C4-34ECAB023365}"/>
    <hyperlink ref="L71" r:id="rId16" xr:uid="{D47E7AD9-AEFB-4E46-946A-752F1E5D1B06}"/>
    <hyperlink ref="M71" r:id="rId17" xr:uid="{451FDD2B-E3B1-4BCB-8088-5E554E45C475}"/>
    <hyperlink ref="L63" r:id="rId18" xr:uid="{036242BC-BB24-4D5E-BB4B-25322EBD9D52}"/>
    <hyperlink ref="M63" r:id="rId19" xr:uid="{1AE52035-E559-4F96-8779-6356D20F3767}"/>
    <hyperlink ref="L73" r:id="rId20" xr:uid="{32477967-6A00-4488-A0AB-ED85FBD6DE1F}"/>
    <hyperlink ref="M73" r:id="rId21" xr:uid="{B2D42A74-87AA-4A64-A413-9F698EA793C9}"/>
    <hyperlink ref="L76" r:id="rId22" display="https://obgyn.onlinelibrary.wiley.com/doi/10.1002/ijgo.15970" xr:uid="{17C65564-DC02-4128-B6F2-271160BB7D6D}"/>
    <hyperlink ref="M82" r:id="rId23" display="https://doi.org/10.1002/hec.4974" xr:uid="{2B95A953-5BCE-46CD-BE3C-3B266D189817}"/>
    <hyperlink ref="L82" r:id="rId24" display="https://onlinelibrary.wiley.com/doi/10.1002/hec.4974" xr:uid="{DDAE76E3-BA0B-4EF5-A679-B050A1A5E039}"/>
    <hyperlink ref="L87" r:id="rId25" xr:uid="{B0D7CD3C-5C36-4834-B61D-9A0E94BCE90E}"/>
    <hyperlink ref="M87" r:id="rId26" display="http://dx.doi.org/10.15585/mmwr.mm7422a3" xr:uid="{15F19FF9-2CAA-43AE-B273-88A58189CA55}"/>
    <hyperlink ref="M81" r:id="rId27" display="https://doi.org/10.1016/j.vaccine.2025.127332" xr:uid="{CD879E9C-DFD5-40B7-820F-003E558D74E2}"/>
    <hyperlink ref="L86" r:id="rId28" display="https://www.sciencedirect.com/science/article/pii/S2950541025000225" xr:uid="{27C669FF-34F7-4D45-9A84-7C52D88827F9}"/>
    <hyperlink ref="M76" r:id="rId29" xr:uid="{62C22E0B-70C4-4991-A54B-5D3AEB55C3CF}"/>
    <hyperlink ref="L77" r:id="rId30" xr:uid="{655AC7C6-26D9-4668-AE00-AD28ECBC040B}"/>
    <hyperlink ref="M84" r:id="rId31" xr:uid="{96F48905-AEB5-464A-8167-D7C2404B6724}"/>
    <hyperlink ref="L84" r:id="rId32" xr:uid="{0526C260-61DB-4DD7-813C-C0DAE264D9E5}"/>
    <hyperlink ref="L85" r:id="rId33" xr:uid="{428B6768-3C59-4A20-BFB0-54AFF74FDF0C}"/>
    <hyperlink ref="P30" r:id="rId34" xr:uid="{9DD18165-4D2F-46AC-A0DE-480680F0A3A8}"/>
    <hyperlink ref="P49" r:id="rId35" xr:uid="{A6265F6D-8203-438C-B82A-39CFB6DD6669}"/>
    <hyperlink ref="P50" r:id="rId36" xr:uid="{EE42DBAC-3022-4DE3-9473-F8F11DFB288F}"/>
    <hyperlink ref="P53" r:id="rId37" xr:uid="{F74F797D-359C-4B2A-81EB-C4DFE3670221}"/>
    <hyperlink ref="P54" r:id="rId38" xr:uid="{EE1A6D9B-16B0-4FB0-80E6-6BFE364E9EFD}"/>
    <hyperlink ref="P55" r:id="rId39" xr:uid="{1C95BB6C-CAA5-42F7-80D8-81607B338E14}"/>
    <hyperlink ref="M56" r:id="rId40" xr:uid="{0CD965E0-BFDD-48A1-988C-F68DE8771406}"/>
    <hyperlink ref="P63" r:id="rId41" xr:uid="{85A27719-C7A3-409E-8282-E774D268719B}"/>
    <hyperlink ref="P65" r:id="rId42" xr:uid="{A5CFE8A3-E832-45C2-A4FA-ADF6AC49BCE4}"/>
    <hyperlink ref="P71" r:id="rId43" xr:uid="{4DB952A9-35F6-4406-A2DB-3B8518CDEADE}"/>
    <hyperlink ref="P73" r:id="rId44" xr:uid="{2CD9EA4E-A8DB-45C0-97E7-9099F7F81373}"/>
    <hyperlink ref="P76" r:id="rId45" display="https://obgyn.onlinelibrary.wiley.com/doi/10.1002/ijgo.15970" xr:uid="{C6258B07-BBA2-4E4C-80A1-D8CF7FC69703}"/>
    <hyperlink ref="P77" r:id="rId46" xr:uid="{B97DBD3E-7048-4677-99D9-38FFA24998EE}"/>
    <hyperlink ref="P82" r:id="rId47" display="https://onlinelibrary.wiley.com/doi/10.1002/hec.4974" xr:uid="{949C174E-85F1-4480-ADDC-5CB86B6FDE74}"/>
    <hyperlink ref="P84" r:id="rId48" xr:uid="{6BD95091-007E-44DE-82A4-5EC624ADA724}"/>
    <hyperlink ref="P85" r:id="rId49" xr:uid="{BCC3AC16-5D54-4067-A5A5-F6726AD3A581}"/>
    <hyperlink ref="P86" r:id="rId50" display="https://www.sciencedirect.com/science/article/pii/S2950541025000225" xr:uid="{334845A5-3B0C-48B0-A3ED-62176573311B}"/>
    <hyperlink ref="P87" r:id="rId51" xr:uid="{28E856CC-6BD6-4B5A-AA24-DB00DC61D459}"/>
    <hyperlink ref="M40" r:id="rId52" display="https://doi.org/10.1016/j.vaccine.2024.05.055" xr:uid="{FA7A09CE-D156-4550-8D34-6CC64B68DC79}"/>
    <hyperlink ref="M49" r:id="rId53" display="https://doi.org/10.1542/peds.2024-066481" xr:uid="{EB7579F0-B41E-4193-A93C-6288B1A4FF83}"/>
    <hyperlink ref="M85" r:id="rId54" display="https://doi.org/10.1016/j.vaccine.2025.127043" xr:uid="{9B235323-2852-479C-BE08-13928C86834C}"/>
    <hyperlink ref="M86" r:id="rId55" display="https://doi.org/10.1016/j.jpedcp.2025.200160 " xr:uid="{75CFBCA6-B2B0-406A-844F-0C88F064A853}"/>
    <hyperlink ref="M79" r:id="rId56" xr:uid="{400A8CE7-6D37-46E1-96BC-3BA86D9B40DC}"/>
    <hyperlink ref="M93" r:id="rId57" display="https://journals.lww.com/pidj/abstract/2025/09000/three_cases_of_adolescent_orf_virus_skin_and_soft.23.aspx" xr:uid="{6A90161D-B85A-4773-AB02-F106512ADBAB}"/>
    <hyperlink ref="M88" r:id="rId58" xr:uid="{86BD37DC-BDF7-424E-A64A-84977C14ADF0}"/>
    <hyperlink ref="M70" r:id="rId59" xr:uid="{4E91D715-CE6B-4BFF-AEF1-41380EFC3F6C}"/>
    <hyperlink ref="M89" r:id="rId60" xr:uid="{9569927D-F277-41EC-81AE-1872F7550DC6}"/>
    <hyperlink ref="P97" r:id="rId61" xr:uid="{C328462E-07B6-459E-944C-53D947765ABF}"/>
    <hyperlink ref="P98" r:id="rId62" xr:uid="{99FF69DC-BB87-4AB7-8F5E-2857E737E7A7}"/>
    <hyperlink ref="P99" r:id="rId63" xr:uid="{4A802CF5-C950-416D-AEDF-B6DCCB237F19}"/>
    <hyperlink ref="P64" r:id="rId64" location="google_vignette" xr:uid="{20998AF4-76EA-44C6-B154-6095F256CD8C}"/>
    <hyperlink ref="L64" r:id="rId65" location="google_vignette" xr:uid="{2EAF8804-9AD6-404B-A8AE-5A116A2146E4}"/>
    <hyperlink ref="P103" r:id="rId66" xr:uid="{B8122858-7DA2-4072-8B5D-B928BBDD67A7}"/>
    <hyperlink ref="M91" r:id="rId67" xr:uid="{D8071C1E-0C53-40BA-8327-6ECF7A35E375}"/>
    <hyperlink ref="P101" r:id="rId68" xr:uid="{30F43307-2A0C-498D-8F20-A8EEC1C67C78}"/>
    <hyperlink ref="M92" r:id="rId69" display="https://doi.org/10.1016/j.vaccine.2026.128212" xr:uid="{54DFF92F-B6DE-41C4-90AB-BA3698739B21}"/>
    <hyperlink ref="M61" r:id="rId70" xr:uid="{5EDF35B3-E651-4C49-864E-8F97990C7E3A}"/>
    <hyperlink ref="M90" r:id="rId71" display="https://www.sciencedirect.com/science/article/pii/S0749379726001558" xr:uid="{69772AD8-0A08-4BBB-AF41-6B1C8D53E0A2}"/>
  </hyperlinks>
  <pageMargins left="0.7" right="0.7" top="0.75" bottom="0.75" header="0.3" footer="0.3"/>
  <pageSetup orientation="portrait" r:id="rId72"/>
  <extLst>
    <ext xmlns:x14="http://schemas.microsoft.com/office/spreadsheetml/2009/9/main" uri="{CCE6A557-97BC-4b89-ADB6-D9C93CAAB3DF}">
      <x14:dataValidations xmlns:xm="http://schemas.microsoft.com/office/excel/2006/main" count="2">
        <x14:dataValidation type="list" allowBlank="1" showInputMessage="1" showErrorMessage="1" xr:uid="{77A11BB2-97AE-4D98-BB4C-D93219497B46}">
          <x14:formula1>
            <xm:f>#REF!</xm:f>
          </x14:formula1>
          <xm:sqref>F32 F106 I4:I105 F112 I107:I413</xm:sqref>
        </x14:dataValidation>
        <x14:dataValidation type="list" allowBlank="1" showInputMessage="1" showErrorMessage="1" xr:uid="{D4FAACDF-9455-4961-A48A-C90E72F4F7DE}">
          <x14:formula1>
            <xm:f>#REF!</xm:f>
          </x14:formula1>
          <xm:sqref>A2:A518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732B-CF95-486D-8784-A1F093553806}">
  <dimension ref="A1:S14"/>
  <sheetViews>
    <sheetView zoomScale="80" zoomScaleNormal="80" workbookViewId="0">
      <pane ySplit="1" topLeftCell="A2" activePane="bottomLeft" state="frozen"/>
      <selection pane="bottomLeft" activeCell="P7" sqref="P7"/>
    </sheetView>
  </sheetViews>
  <sheetFormatPr defaultColWidth="9.140625" defaultRowHeight="14.45"/>
  <cols>
    <col min="1" max="1" width="18.42578125" style="354" customWidth="1"/>
    <col min="2" max="2" width="23.85546875" style="361" customWidth="1"/>
    <col min="3" max="3" width="52.42578125" style="354" customWidth="1"/>
    <col min="4" max="4" width="39.5703125" style="354" customWidth="1"/>
    <col min="5" max="5" width="8" style="354" customWidth="1"/>
    <col min="6" max="8" width="8" style="354" hidden="1" customWidth="1"/>
    <col min="9" max="9" width="8" style="354" customWidth="1"/>
    <col min="10" max="10" width="12.28515625" style="354" hidden="1" customWidth="1"/>
    <col min="11" max="11" width="13.28515625" style="354" customWidth="1"/>
    <col min="12" max="12" width="13.28515625" style="354" hidden="1" customWidth="1"/>
    <col min="13" max="13" width="19" style="354" customWidth="1"/>
    <col min="14" max="14" width="14.85546875" style="362" bestFit="1" customWidth="1"/>
    <col min="15" max="15" width="20.28515625" style="354" customWidth="1"/>
    <col min="16" max="16" width="58.140625" style="362" customWidth="1"/>
    <col min="17" max="17" width="20.28515625" style="354" customWidth="1"/>
    <col min="18" max="16384" width="9.140625" style="354"/>
  </cols>
  <sheetData>
    <row r="1" spans="1:19" s="359" customFormat="1" ht="80.25" customHeight="1">
      <c r="A1" s="440" t="s">
        <v>0</v>
      </c>
      <c r="B1" s="185" t="s">
        <v>434</v>
      </c>
      <c r="C1" s="355" t="s">
        <v>2</v>
      </c>
      <c r="D1" s="355" t="s">
        <v>3</v>
      </c>
      <c r="E1" s="355" t="s">
        <v>4</v>
      </c>
      <c r="F1" s="355" t="s">
        <v>5</v>
      </c>
      <c r="G1" s="355" t="s">
        <v>6</v>
      </c>
      <c r="H1" s="356" t="s">
        <v>7</v>
      </c>
      <c r="I1" s="355" t="s">
        <v>8</v>
      </c>
      <c r="J1" s="357" t="s">
        <v>9</v>
      </c>
      <c r="K1" s="355" t="s">
        <v>10</v>
      </c>
      <c r="L1" s="355" t="s">
        <v>1008</v>
      </c>
      <c r="M1" s="355" t="s">
        <v>11</v>
      </c>
      <c r="N1" s="358" t="s">
        <v>13</v>
      </c>
      <c r="O1" s="355" t="s">
        <v>14</v>
      </c>
      <c r="P1" s="358" t="s">
        <v>15</v>
      </c>
      <c r="Q1" s="355"/>
      <c r="R1" s="441"/>
      <c r="S1" s="441"/>
    </row>
    <row r="2" spans="1:19" ht="172.5" customHeight="1">
      <c r="A2" s="366" t="s">
        <v>16</v>
      </c>
      <c r="B2" s="367" t="s">
        <v>20</v>
      </c>
      <c r="C2" s="442" t="s">
        <v>1009</v>
      </c>
      <c r="D2" s="365" t="s">
        <v>1010</v>
      </c>
      <c r="E2" s="366">
        <v>2022</v>
      </c>
      <c r="F2" s="442" t="s">
        <v>1011</v>
      </c>
      <c r="G2" s="365" t="s">
        <v>1012</v>
      </c>
      <c r="H2" s="366" t="s">
        <v>1013</v>
      </c>
      <c r="I2" s="366" t="s">
        <v>1014</v>
      </c>
      <c r="J2" s="368">
        <v>44925</v>
      </c>
      <c r="K2" s="366" t="s">
        <v>176</v>
      </c>
      <c r="L2" s="366"/>
      <c r="M2" s="369" t="s">
        <v>1015</v>
      </c>
      <c r="N2" s="443">
        <v>36580416</v>
      </c>
      <c r="O2" s="366" t="s">
        <v>1016</v>
      </c>
      <c r="P2" s="360"/>
      <c r="Q2" s="366"/>
      <c r="R2" s="366"/>
      <c r="S2" s="370"/>
    </row>
    <row r="3" spans="1:19" ht="144.94999999999999">
      <c r="A3" s="366" t="s">
        <v>16</v>
      </c>
      <c r="B3" s="371" t="s">
        <v>1017</v>
      </c>
      <c r="C3" s="365" t="s">
        <v>1018</v>
      </c>
      <c r="D3" s="365" t="s">
        <v>1019</v>
      </c>
      <c r="E3" s="365">
        <v>2023</v>
      </c>
      <c r="F3" s="365" t="s">
        <v>1020</v>
      </c>
      <c r="G3" s="366"/>
      <c r="H3" s="372"/>
      <c r="I3" s="365"/>
      <c r="J3" s="373">
        <v>45091</v>
      </c>
      <c r="K3" s="365" t="s">
        <v>21</v>
      </c>
      <c r="L3" s="365"/>
      <c r="M3" s="444" t="s">
        <v>1021</v>
      </c>
      <c r="N3" s="374">
        <v>37314630</v>
      </c>
      <c r="O3" s="369" t="s">
        <v>1022</v>
      </c>
      <c r="P3" s="374"/>
      <c r="Q3" s="369"/>
      <c r="R3" s="366"/>
      <c r="S3" s="370"/>
    </row>
    <row r="4" spans="1:19" ht="57.95">
      <c r="A4" s="366" t="s">
        <v>16</v>
      </c>
      <c r="B4" s="371" t="s">
        <v>20</v>
      </c>
      <c r="C4" s="365" t="s">
        <v>1023</v>
      </c>
      <c r="D4" s="365" t="s">
        <v>1024</v>
      </c>
      <c r="E4" s="365">
        <v>2023</v>
      </c>
      <c r="F4" s="365" t="s">
        <v>1025</v>
      </c>
      <c r="G4" s="365" t="s">
        <v>1026</v>
      </c>
      <c r="H4" s="365" t="s">
        <v>1027</v>
      </c>
      <c r="I4" s="365" t="s">
        <v>1014</v>
      </c>
      <c r="J4" s="375">
        <v>45135</v>
      </c>
      <c r="K4" s="365" t="s">
        <v>440</v>
      </c>
      <c r="L4" s="365"/>
      <c r="M4" s="369" t="s">
        <v>1028</v>
      </c>
      <c r="N4" s="443">
        <v>37498796</v>
      </c>
      <c r="O4" s="366" t="s">
        <v>1029</v>
      </c>
      <c r="P4" s="360"/>
      <c r="Q4" s="366"/>
      <c r="R4" s="366"/>
      <c r="S4" s="370"/>
    </row>
    <row r="5" spans="1:19" ht="101.45">
      <c r="A5" s="366" t="s">
        <v>16</v>
      </c>
      <c r="B5" s="367" t="s">
        <v>20</v>
      </c>
      <c r="C5" s="442" t="s">
        <v>1030</v>
      </c>
      <c r="D5" s="365" t="s">
        <v>1031</v>
      </c>
      <c r="E5" s="366">
        <v>2023</v>
      </c>
      <c r="F5" s="365" t="s">
        <v>1032</v>
      </c>
      <c r="G5" s="365" t="s">
        <v>638</v>
      </c>
      <c r="H5" s="365" t="s">
        <v>1033</v>
      </c>
      <c r="I5" s="365" t="s">
        <v>1014</v>
      </c>
      <c r="J5" s="368">
        <v>45177</v>
      </c>
      <c r="K5" s="365" t="s">
        <v>21</v>
      </c>
      <c r="L5" s="365"/>
      <c r="M5" s="369" t="s">
        <v>1034</v>
      </c>
      <c r="N5" s="374">
        <v>37676838</v>
      </c>
      <c r="O5" s="366" t="s">
        <v>1035</v>
      </c>
      <c r="P5" s="445"/>
      <c r="Q5" s="366"/>
      <c r="R5" s="366"/>
      <c r="S5" s="370"/>
    </row>
    <row r="6" spans="1:19" ht="72.599999999999994">
      <c r="A6" s="369" t="s">
        <v>16</v>
      </c>
      <c r="B6" s="371" t="s">
        <v>1036</v>
      </c>
      <c r="C6" s="376" t="s">
        <v>1037</v>
      </c>
      <c r="D6" s="365" t="s">
        <v>1038</v>
      </c>
      <c r="E6" s="366">
        <v>2025</v>
      </c>
      <c r="F6" s="366" t="s">
        <v>176</v>
      </c>
      <c r="G6" s="366"/>
      <c r="H6" s="366"/>
      <c r="I6" s="366" t="s">
        <v>35</v>
      </c>
      <c r="J6" s="368">
        <v>45819</v>
      </c>
      <c r="K6" s="377" t="s">
        <v>21</v>
      </c>
      <c r="L6" s="366"/>
      <c r="M6" s="365" t="s">
        <v>1039</v>
      </c>
      <c r="N6" s="374">
        <v>40498650</v>
      </c>
      <c r="O6" s="366" t="s">
        <v>1040</v>
      </c>
      <c r="P6" s="374"/>
      <c r="Q6" s="366"/>
      <c r="R6" s="366"/>
      <c r="S6" s="370"/>
    </row>
    <row r="7" spans="1:19" ht="110.25" customHeight="1">
      <c r="A7" s="366" t="s">
        <v>16</v>
      </c>
      <c r="B7" s="367" t="s">
        <v>20</v>
      </c>
      <c r="C7" s="386" t="s">
        <v>1041</v>
      </c>
      <c r="D7" s="365" t="s">
        <v>1042</v>
      </c>
      <c r="E7" s="366">
        <v>2026</v>
      </c>
      <c r="F7" s="366"/>
      <c r="G7" s="366"/>
      <c r="H7" s="366"/>
      <c r="I7" s="366" t="s">
        <v>20</v>
      </c>
      <c r="J7" s="366"/>
      <c r="K7" s="366" t="s">
        <v>693</v>
      </c>
      <c r="L7" s="366"/>
      <c r="M7" s="366" t="s">
        <v>1043</v>
      </c>
      <c r="N7" s="374">
        <v>41818136</v>
      </c>
      <c r="O7" s="366"/>
      <c r="P7" s="374"/>
      <c r="Q7" s="366"/>
      <c r="R7" s="366"/>
      <c r="S7" s="370"/>
    </row>
    <row r="8" spans="1:19" ht="63" customHeight="1">
      <c r="A8" s="366" t="s">
        <v>16</v>
      </c>
      <c r="B8" s="371" t="s">
        <v>882</v>
      </c>
      <c r="C8" s="442" t="s">
        <v>1044</v>
      </c>
      <c r="D8" s="365" t="s">
        <v>1045</v>
      </c>
      <c r="E8" s="365">
        <v>2026</v>
      </c>
      <c r="F8" s="365"/>
      <c r="G8" s="372"/>
      <c r="H8" s="372"/>
      <c r="I8" s="365" t="s">
        <v>35</v>
      </c>
      <c r="J8" s="373"/>
      <c r="K8" s="365" t="s">
        <v>693</v>
      </c>
      <c r="L8" s="365" t="s">
        <v>1046</v>
      </c>
      <c r="M8" s="365" t="s">
        <v>1047</v>
      </c>
      <c r="N8" s="378"/>
      <c r="O8" s="365"/>
      <c r="P8" s="33" t="s">
        <v>1048</v>
      </c>
      <c r="Q8" s="365"/>
      <c r="R8" s="365"/>
      <c r="S8" s="365"/>
    </row>
    <row r="9" spans="1:19">
      <c r="A9" s="366"/>
      <c r="B9" s="367"/>
      <c r="C9" s="366"/>
      <c r="D9" s="366"/>
      <c r="E9" s="366"/>
      <c r="F9" s="366"/>
      <c r="G9" s="366"/>
      <c r="H9" s="366"/>
      <c r="I9" s="366"/>
      <c r="J9" s="366"/>
      <c r="K9" s="366"/>
      <c r="L9" s="366"/>
      <c r="M9" s="366"/>
      <c r="N9" s="374"/>
      <c r="O9" s="366"/>
      <c r="P9" s="374"/>
      <c r="Q9" s="366"/>
      <c r="R9" s="366"/>
      <c r="S9" s="370"/>
    </row>
    <row r="10" spans="1:19">
      <c r="A10" s="379"/>
      <c r="B10" s="380"/>
      <c r="C10" s="366"/>
      <c r="D10" s="366"/>
      <c r="E10" s="366"/>
      <c r="F10" s="366"/>
      <c r="G10" s="366"/>
      <c r="H10" s="366"/>
      <c r="I10" s="366"/>
      <c r="J10" s="366"/>
      <c r="K10" s="366"/>
      <c r="L10" s="366"/>
      <c r="M10" s="366"/>
      <c r="N10" s="374"/>
      <c r="O10" s="366"/>
      <c r="P10" s="374"/>
      <c r="Q10" s="366"/>
      <c r="R10" s="366"/>
      <c r="S10" s="370"/>
    </row>
    <row r="12" spans="1:19">
      <c r="A12" s="381"/>
      <c r="B12" s="382"/>
      <c r="C12" s="370"/>
      <c r="D12" s="370"/>
      <c r="E12" s="370"/>
      <c r="F12" s="370"/>
      <c r="G12" s="370"/>
      <c r="H12" s="370"/>
      <c r="I12" s="370"/>
      <c r="J12" s="370"/>
      <c r="K12" s="370"/>
      <c r="L12" s="370"/>
      <c r="M12" s="370"/>
      <c r="N12" s="383"/>
      <c r="O12" s="370"/>
      <c r="P12" s="383"/>
      <c r="Q12" s="370"/>
      <c r="R12" s="370"/>
      <c r="S12" s="370"/>
    </row>
    <row r="14" spans="1:19">
      <c r="A14" s="384"/>
      <c r="B14" s="385"/>
      <c r="C14" s="370"/>
      <c r="D14" s="370"/>
      <c r="E14" s="370"/>
      <c r="F14" s="370"/>
      <c r="G14" s="370"/>
      <c r="H14" s="370"/>
      <c r="I14" s="370"/>
      <c r="J14" s="370"/>
      <c r="K14" s="370"/>
      <c r="L14" s="370"/>
      <c r="M14" s="370"/>
      <c r="N14" s="383"/>
      <c r="O14" s="370"/>
      <c r="P14" s="383"/>
      <c r="Q14" s="370"/>
      <c r="R14" s="370"/>
      <c r="S14" s="370"/>
    </row>
  </sheetData>
  <autoFilter ref="A1:P8" xr:uid="{B67E732B-CF95-486D-8784-A1F093553806}"/>
  <sortState xmlns:xlrd2="http://schemas.microsoft.com/office/spreadsheetml/2017/richdata2" ref="C2:N5">
    <sortCondition ref="J2:J5"/>
  </sortState>
  <dataValidations count="1">
    <dataValidation type="list" allowBlank="1" showInputMessage="1" showErrorMessage="1" sqref="I2" xr:uid="{BAC37582-9E54-411E-A496-CBFBD25E63F0}">
      <formula1>#REF!</formula1>
    </dataValidation>
  </dataValidations>
  <hyperlinks>
    <hyperlink ref="M3" r:id="rId1" xr:uid="{4D9BBE2D-BD22-406F-A21F-260140B45B51}"/>
    <hyperlink ref="P8" r:id="rId2" xr:uid="{F8DEEB90-BA93-4A81-937C-1DDC8A819309}"/>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2">
        <x14:dataValidation type="list" allowBlank="1" showInputMessage="1" showErrorMessage="1" xr:uid="{52733BA5-58AA-44E3-AEB7-B487F7A72DBB}">
          <x14:formula1>
            <xm:f>#REF!</xm:f>
          </x14:formula1>
          <xm:sqref>A2:A524</xm:sqref>
        </x14:dataValidation>
        <x14:dataValidation type="list" allowBlank="1" showInputMessage="1" showErrorMessage="1" xr:uid="{9743E721-22BC-4CD3-A191-DE227EEB5D15}">
          <x14:formula1>
            <xm:f>#REF!</xm:f>
          </x14:formula1>
          <xm:sqref>I4:I338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A0888-62E8-43A7-A92E-65312ACD67E8}">
  <dimension ref="A1:P12"/>
  <sheetViews>
    <sheetView workbookViewId="0">
      <pane ySplit="1" topLeftCell="A2" activePane="bottomLeft" state="frozen"/>
      <selection pane="bottomLeft" activeCell="A4" sqref="A4"/>
    </sheetView>
  </sheetViews>
  <sheetFormatPr defaultColWidth="9.140625" defaultRowHeight="14.45"/>
  <cols>
    <col min="1" max="1" width="20.85546875" style="166" customWidth="1"/>
    <col min="2" max="2" width="24.7109375" style="169" customWidth="1"/>
    <col min="3" max="3" width="33.42578125" style="168" customWidth="1"/>
    <col min="4" max="4" width="36.140625" style="168" customWidth="1"/>
    <col min="5" max="6" width="9.140625" style="168"/>
    <col min="7" max="8" width="16.5703125" style="62" hidden="1" customWidth="1"/>
    <col min="9" max="9" width="16.5703125" style="168" customWidth="1"/>
    <col min="10" max="10" width="16.5703125" style="168" hidden="1" customWidth="1"/>
    <col min="11" max="11" width="9.140625" style="168"/>
    <col min="12" max="12" width="0" style="62" hidden="1" customWidth="1"/>
    <col min="13" max="13" width="12.85546875" style="179" customWidth="1"/>
    <col min="14" max="14" width="10.7109375" style="168" bestFit="1" customWidth="1"/>
    <col min="15" max="15" width="14.7109375" style="168" customWidth="1"/>
    <col min="16" max="16384" width="9.140625" style="168"/>
  </cols>
  <sheetData>
    <row r="1" spans="1:16" s="186" customFormat="1" ht="83.25" customHeight="1">
      <c r="A1" s="50" t="s">
        <v>0</v>
      </c>
      <c r="B1" s="185" t="s">
        <v>434</v>
      </c>
      <c r="C1" s="186" t="s">
        <v>2</v>
      </c>
      <c r="D1" s="186" t="s">
        <v>3</v>
      </c>
      <c r="E1" s="186" t="s">
        <v>4</v>
      </c>
      <c r="F1" s="187" t="s">
        <v>5</v>
      </c>
      <c r="G1" s="2" t="s">
        <v>6</v>
      </c>
      <c r="H1" s="4" t="s">
        <v>7</v>
      </c>
      <c r="I1" s="186" t="s">
        <v>8</v>
      </c>
      <c r="J1" s="188" t="s">
        <v>9</v>
      </c>
      <c r="K1" s="187" t="s">
        <v>10</v>
      </c>
      <c r="L1" s="3" t="s">
        <v>530</v>
      </c>
      <c r="M1" s="187" t="s">
        <v>11</v>
      </c>
      <c r="N1" s="189" t="s">
        <v>13</v>
      </c>
      <c r="O1" s="186" t="s">
        <v>14</v>
      </c>
      <c r="P1" s="186" t="s">
        <v>15</v>
      </c>
    </row>
    <row r="2" spans="1:16" ht="69.95">
      <c r="A2" s="166" t="s">
        <v>16</v>
      </c>
      <c r="B2" s="169" t="s">
        <v>64</v>
      </c>
      <c r="C2" s="179" t="s">
        <v>1049</v>
      </c>
      <c r="D2" s="179" t="s">
        <v>1050</v>
      </c>
      <c r="E2" s="168">
        <v>2024</v>
      </c>
      <c r="F2" s="168" t="s">
        <v>21</v>
      </c>
      <c r="G2" s="62" t="s">
        <v>73</v>
      </c>
      <c r="H2" s="62" t="s">
        <v>73</v>
      </c>
      <c r="I2" s="168" t="s">
        <v>35</v>
      </c>
      <c r="J2" s="184">
        <v>45552</v>
      </c>
      <c r="K2" s="168" t="s">
        <v>21</v>
      </c>
      <c r="M2" s="179" t="s">
        <v>1051</v>
      </c>
      <c r="N2" s="168">
        <v>38154993</v>
      </c>
      <c r="O2" s="179" t="s">
        <v>1052</v>
      </c>
    </row>
    <row r="3" spans="1:16" ht="84">
      <c r="A3" s="166" t="s">
        <v>379</v>
      </c>
      <c r="B3" s="180" t="s">
        <v>1001</v>
      </c>
      <c r="C3" s="179" t="s">
        <v>1053</v>
      </c>
      <c r="D3" s="181" t="s">
        <v>1054</v>
      </c>
      <c r="E3" s="168">
        <v>2025</v>
      </c>
      <c r="F3" s="168" t="s">
        <v>176</v>
      </c>
      <c r="G3" s="104"/>
      <c r="H3" s="104"/>
      <c r="I3" s="168" t="s">
        <v>35</v>
      </c>
      <c r="K3" s="168" t="s">
        <v>176</v>
      </c>
    </row>
    <row r="4" spans="1:16" ht="140.1">
      <c r="A4" s="166" t="s">
        <v>379</v>
      </c>
      <c r="B4" s="180" t="s">
        <v>103</v>
      </c>
      <c r="C4" s="181" t="s">
        <v>1055</v>
      </c>
      <c r="D4" s="181" t="s">
        <v>1056</v>
      </c>
      <c r="E4" s="168">
        <v>2025</v>
      </c>
      <c r="F4" s="168" t="s">
        <v>176</v>
      </c>
      <c r="I4" s="168" t="s">
        <v>35</v>
      </c>
      <c r="K4" s="168" t="s">
        <v>176</v>
      </c>
    </row>
    <row r="5" spans="1:16" ht="56.1">
      <c r="A5" s="171" t="s">
        <v>16</v>
      </c>
      <c r="B5" s="170" t="s">
        <v>1057</v>
      </c>
      <c r="C5" s="182" t="s">
        <v>1058</v>
      </c>
      <c r="D5" s="182" t="s">
        <v>1059</v>
      </c>
      <c r="E5" s="168">
        <v>2025</v>
      </c>
      <c r="F5" s="168" t="s">
        <v>176</v>
      </c>
      <c r="I5" s="168" t="s">
        <v>35</v>
      </c>
      <c r="J5" s="168" t="s">
        <v>1060</v>
      </c>
      <c r="K5" s="168" t="s">
        <v>21</v>
      </c>
      <c r="M5" s="179" t="s">
        <v>1061</v>
      </c>
      <c r="N5" s="168">
        <v>40187801</v>
      </c>
      <c r="O5" s="169"/>
    </row>
    <row r="6" spans="1:16" ht="69.95">
      <c r="A6" s="166" t="s">
        <v>379</v>
      </c>
      <c r="B6" s="170" t="s">
        <v>1057</v>
      </c>
      <c r="C6" s="179" t="s">
        <v>1062</v>
      </c>
      <c r="D6" s="183" t="s">
        <v>1063</v>
      </c>
      <c r="E6" s="168">
        <v>2025</v>
      </c>
      <c r="F6" s="168" t="s">
        <v>21</v>
      </c>
      <c r="I6" s="168" t="s">
        <v>35</v>
      </c>
      <c r="J6" s="190">
        <v>45862</v>
      </c>
      <c r="K6" s="168" t="s">
        <v>176</v>
      </c>
      <c r="M6" s="179" t="s">
        <v>1064</v>
      </c>
      <c r="N6" s="168">
        <v>40651498</v>
      </c>
      <c r="O6" s="169"/>
    </row>
    <row r="7" spans="1:16" ht="98.1">
      <c r="A7" s="166" t="s">
        <v>16</v>
      </c>
      <c r="B7" s="169" t="s">
        <v>17</v>
      </c>
      <c r="C7" s="179" t="s">
        <v>1065</v>
      </c>
      <c r="D7" s="179" t="s">
        <v>1066</v>
      </c>
      <c r="E7" s="168">
        <v>2025</v>
      </c>
      <c r="F7" s="168" t="s">
        <v>21</v>
      </c>
      <c r="I7" s="168" t="s">
        <v>20</v>
      </c>
      <c r="K7" s="168" t="s">
        <v>21</v>
      </c>
      <c r="M7" s="179" t="s">
        <v>1067</v>
      </c>
      <c r="O7" s="168" t="s">
        <v>1068</v>
      </c>
    </row>
    <row r="12" spans="1:16">
      <c r="A12" s="179"/>
      <c r="B12" s="170"/>
    </row>
  </sheetData>
  <autoFilter ref="A1:O7" xr:uid="{663A0888-62E8-43A7-A92E-65312ACD67E8}"/>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DED30244-5B70-459C-84BD-97917526777C}">
          <x14:formula1>
            <xm:f>#REF!</xm:f>
          </x14:formula1>
          <xm:sqref>A2:A524</xm:sqref>
        </x14:dataValidation>
        <x14:dataValidation type="list" allowBlank="1" showInputMessage="1" showErrorMessage="1" xr:uid="{D1A2FB12-0E5B-414C-A6E3-DD1A6A4D25A4}">
          <x14:formula1>
            <xm:f>#REF!</xm:f>
          </x14:formula1>
          <xm:sqref>I2:I544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52B4-43C0-4E6B-BDE7-052EDF04BCE3}">
  <dimension ref="A1:P14"/>
  <sheetViews>
    <sheetView zoomScale="90" zoomScaleNormal="90" workbookViewId="0">
      <pane ySplit="1" topLeftCell="A2" activePane="bottomLeft" state="frozen"/>
      <selection pane="bottomLeft" activeCell="C11" sqref="C11"/>
    </sheetView>
  </sheetViews>
  <sheetFormatPr defaultColWidth="9.140625" defaultRowHeight="15" customHeight="1"/>
  <cols>
    <col min="1" max="1" width="20.85546875" style="166" customWidth="1"/>
    <col min="2" max="2" width="25.5703125" style="169" customWidth="1"/>
    <col min="3" max="3" width="41.28515625" style="166" customWidth="1"/>
    <col min="4" max="4" width="48" style="171" customWidth="1"/>
    <col min="5" max="5" width="9.140625" style="166"/>
    <col min="6" max="8" width="0" style="166" hidden="1" customWidth="1"/>
    <col min="9" max="9" width="9.140625" style="166"/>
    <col min="10" max="10" width="14.5703125" style="166" hidden="1" customWidth="1"/>
    <col min="11" max="11" width="9.140625" style="166" bestFit="1" customWidth="1"/>
    <col min="12" max="12" width="0" style="166" hidden="1" customWidth="1"/>
    <col min="13" max="13" width="19.42578125" style="171" customWidth="1"/>
    <col min="14" max="14" width="23.28515625" style="167" customWidth="1"/>
    <col min="15" max="15" width="16.28515625" style="166" customWidth="1"/>
    <col min="16" max="16" width="23.28515625" style="167" customWidth="1"/>
    <col min="17" max="16384" width="9.140625" style="166"/>
  </cols>
  <sheetData>
    <row r="1" spans="1:16" s="202" customFormat="1" ht="93">
      <c r="A1" s="199" t="s">
        <v>0</v>
      </c>
      <c r="B1" s="199" t="s">
        <v>434</v>
      </c>
      <c r="C1" s="200" t="s">
        <v>2</v>
      </c>
      <c r="D1" s="199" t="s">
        <v>3</v>
      </c>
      <c r="E1" s="200" t="s">
        <v>4</v>
      </c>
      <c r="F1" s="201" t="s">
        <v>5</v>
      </c>
      <c r="G1" s="202" t="s">
        <v>6</v>
      </c>
      <c r="H1" s="203" t="s">
        <v>7</v>
      </c>
      <c r="I1" s="200" t="s">
        <v>8</v>
      </c>
      <c r="J1" s="204" t="s">
        <v>9</v>
      </c>
      <c r="K1" s="199" t="s">
        <v>10</v>
      </c>
      <c r="L1" s="199" t="s">
        <v>530</v>
      </c>
      <c r="M1" s="199" t="s">
        <v>11</v>
      </c>
      <c r="N1" s="205" t="s">
        <v>13</v>
      </c>
      <c r="O1" s="200" t="s">
        <v>14</v>
      </c>
      <c r="P1" s="206" t="s">
        <v>15</v>
      </c>
    </row>
    <row r="2" spans="1:16" ht="75.75" customHeight="1">
      <c r="A2" s="166" t="s">
        <v>16</v>
      </c>
      <c r="B2" s="169" t="s">
        <v>64</v>
      </c>
      <c r="C2" s="173" t="s">
        <v>1069</v>
      </c>
      <c r="D2" s="171" t="s">
        <v>1070</v>
      </c>
      <c r="E2" s="166">
        <v>2023</v>
      </c>
      <c r="F2" s="166" t="s">
        <v>21</v>
      </c>
      <c r="G2" s="166" t="s">
        <v>1071</v>
      </c>
      <c r="H2" s="166" t="s">
        <v>1071</v>
      </c>
      <c r="I2" s="166" t="s">
        <v>35</v>
      </c>
      <c r="J2" s="172">
        <v>45137</v>
      </c>
      <c r="K2" s="166" t="s">
        <v>21</v>
      </c>
      <c r="M2" s="171" t="s">
        <v>1072</v>
      </c>
      <c r="N2" s="167">
        <v>11068153</v>
      </c>
      <c r="O2" s="169"/>
    </row>
    <row r="3" spans="1:16" ht="69.95">
      <c r="A3" s="166" t="s">
        <v>16</v>
      </c>
      <c r="B3" s="169" t="s">
        <v>20</v>
      </c>
      <c r="C3" s="171" t="s">
        <v>1073</v>
      </c>
      <c r="D3" s="171" t="s">
        <v>1074</v>
      </c>
      <c r="E3" s="166">
        <v>2023</v>
      </c>
      <c r="F3" s="166" t="s">
        <v>21</v>
      </c>
      <c r="G3" s="166">
        <v>72</v>
      </c>
      <c r="H3" s="166" t="s">
        <v>1075</v>
      </c>
      <c r="I3" s="166" t="s">
        <v>20</v>
      </c>
      <c r="J3" s="172">
        <v>45162</v>
      </c>
      <c r="K3" s="166" t="s">
        <v>21</v>
      </c>
      <c r="M3" s="171" t="s">
        <v>1076</v>
      </c>
      <c r="N3" s="195">
        <v>37616235</v>
      </c>
      <c r="O3" s="166" t="s">
        <v>1077</v>
      </c>
      <c r="P3" s="195"/>
    </row>
    <row r="4" spans="1:16" ht="45.75" customHeight="1">
      <c r="A4" s="166" t="s">
        <v>16</v>
      </c>
      <c r="B4" s="169" t="s">
        <v>20</v>
      </c>
      <c r="C4" s="196" t="s">
        <v>1078</v>
      </c>
      <c r="D4" s="181" t="s">
        <v>1079</v>
      </c>
      <c r="E4" s="166">
        <v>2023</v>
      </c>
      <c r="F4" s="166" t="s">
        <v>1080</v>
      </c>
      <c r="G4" s="166">
        <v>72</v>
      </c>
      <c r="I4" s="166" t="s">
        <v>20</v>
      </c>
      <c r="J4" s="172">
        <v>45209</v>
      </c>
      <c r="K4" s="166" t="s">
        <v>21</v>
      </c>
      <c r="M4" s="171" t="s">
        <v>1081</v>
      </c>
      <c r="N4" s="197">
        <v>37856366</v>
      </c>
      <c r="O4" s="166" t="s">
        <v>1082</v>
      </c>
      <c r="P4" s="197"/>
    </row>
    <row r="5" spans="1:16" ht="98.1">
      <c r="A5" s="171" t="s">
        <v>16</v>
      </c>
      <c r="B5" s="169" t="s">
        <v>1083</v>
      </c>
      <c r="C5" s="171" t="s">
        <v>1084</v>
      </c>
      <c r="D5" s="171" t="s">
        <v>1085</v>
      </c>
      <c r="E5" s="166">
        <v>2023</v>
      </c>
      <c r="F5" s="171" t="s">
        <v>1086</v>
      </c>
      <c r="G5" s="166" t="s">
        <v>1071</v>
      </c>
      <c r="H5" s="166" t="s">
        <v>1071</v>
      </c>
      <c r="I5" s="166" t="s">
        <v>35</v>
      </c>
      <c r="J5" s="172">
        <v>45289</v>
      </c>
      <c r="K5" s="166" t="s">
        <v>21</v>
      </c>
      <c r="L5" s="192"/>
      <c r="M5" s="163" t="s">
        <v>1087</v>
      </c>
      <c r="N5" s="167">
        <v>38158297</v>
      </c>
      <c r="O5" s="168" t="s">
        <v>1088</v>
      </c>
    </row>
    <row r="6" spans="1:16" ht="111.95">
      <c r="A6" s="166" t="s">
        <v>16</v>
      </c>
      <c r="B6" s="169" t="s">
        <v>64</v>
      </c>
      <c r="C6" s="173" t="s">
        <v>1089</v>
      </c>
      <c r="D6" s="171" t="s">
        <v>1090</v>
      </c>
      <c r="E6" s="166">
        <v>2024</v>
      </c>
      <c r="F6" s="171" t="s">
        <v>1091</v>
      </c>
      <c r="G6" s="166" t="s">
        <v>1071</v>
      </c>
      <c r="H6" s="166" t="s">
        <v>1071</v>
      </c>
      <c r="I6" s="166" t="s">
        <v>35</v>
      </c>
      <c r="J6" s="172">
        <v>45296</v>
      </c>
      <c r="K6" s="166" t="s">
        <v>21</v>
      </c>
      <c r="M6" s="198" t="s">
        <v>1092</v>
      </c>
      <c r="N6" s="167">
        <v>38184394</v>
      </c>
      <c r="O6" s="169"/>
    </row>
    <row r="7" spans="1:16" ht="42">
      <c r="A7" s="166" t="s">
        <v>16</v>
      </c>
      <c r="B7" s="169" t="s">
        <v>1083</v>
      </c>
      <c r="C7" s="173" t="s">
        <v>1093</v>
      </c>
      <c r="D7" s="171" t="s">
        <v>1094</v>
      </c>
      <c r="E7" s="166">
        <v>2024</v>
      </c>
      <c r="F7" s="166" t="s">
        <v>1095</v>
      </c>
      <c r="G7" s="166" t="s">
        <v>1096</v>
      </c>
      <c r="H7" s="166" t="s">
        <v>1096</v>
      </c>
      <c r="I7" s="166" t="s">
        <v>35</v>
      </c>
      <c r="J7" s="172">
        <v>45317</v>
      </c>
      <c r="K7" s="166" t="s">
        <v>21</v>
      </c>
      <c r="M7" s="198" t="s">
        <v>1097</v>
      </c>
      <c r="N7" s="167">
        <v>38280828</v>
      </c>
      <c r="O7" s="169"/>
    </row>
    <row r="8" spans="1:16" s="139" customFormat="1" ht="57" customHeight="1">
      <c r="A8" s="191" t="s">
        <v>16</v>
      </c>
      <c r="B8" s="47" t="s">
        <v>64</v>
      </c>
      <c r="C8" s="21" t="s">
        <v>1098</v>
      </c>
      <c r="D8" s="16" t="s">
        <v>1099</v>
      </c>
      <c r="E8" s="166">
        <v>2024</v>
      </c>
      <c r="F8" s="16" t="s">
        <v>21</v>
      </c>
      <c r="G8" s="16" t="s">
        <v>73</v>
      </c>
      <c r="H8" s="16" t="s">
        <v>73</v>
      </c>
      <c r="I8" s="166" t="s">
        <v>35</v>
      </c>
      <c r="J8" s="400">
        <v>45351</v>
      </c>
      <c r="K8" s="166" t="s">
        <v>21</v>
      </c>
      <c r="L8" s="27"/>
      <c r="M8" s="182" t="s">
        <v>748</v>
      </c>
      <c r="N8" s="16">
        <v>38429152</v>
      </c>
      <c r="O8" s="47"/>
      <c r="P8" s="16"/>
    </row>
    <row r="9" spans="1:16" ht="132.75" customHeight="1">
      <c r="A9" s="166" t="s">
        <v>16</v>
      </c>
      <c r="B9" s="169" t="s">
        <v>64</v>
      </c>
      <c r="C9" s="171" t="s">
        <v>1100</v>
      </c>
      <c r="D9" s="171" t="s">
        <v>1101</v>
      </c>
      <c r="E9" s="166">
        <v>2024</v>
      </c>
      <c r="F9" s="166" t="s">
        <v>21</v>
      </c>
      <c r="I9" s="166" t="s">
        <v>35</v>
      </c>
      <c r="J9" s="172">
        <v>45552</v>
      </c>
      <c r="K9" s="166" t="s">
        <v>21</v>
      </c>
      <c r="M9" s="171" t="s">
        <v>1102</v>
      </c>
      <c r="N9" s="167">
        <v>39095277</v>
      </c>
      <c r="O9" s="166" t="s">
        <v>1103</v>
      </c>
    </row>
    <row r="10" spans="1:16" ht="45" customHeight="1">
      <c r="A10" s="192" t="s">
        <v>16</v>
      </c>
      <c r="B10" s="170" t="s">
        <v>1104</v>
      </c>
      <c r="C10" s="181" t="s">
        <v>1105</v>
      </c>
      <c r="D10" s="171" t="s">
        <v>1106</v>
      </c>
      <c r="E10" s="166">
        <v>2024</v>
      </c>
      <c r="F10" s="166" t="s">
        <v>176</v>
      </c>
      <c r="G10" s="16">
        <v>357</v>
      </c>
      <c r="H10" s="16" t="s">
        <v>73</v>
      </c>
      <c r="I10" s="166" t="s">
        <v>35</v>
      </c>
      <c r="J10" s="172">
        <v>45536</v>
      </c>
      <c r="K10" s="166" t="s">
        <v>21</v>
      </c>
      <c r="M10" s="171" t="s">
        <v>1107</v>
      </c>
      <c r="N10" s="167">
        <v>39180777</v>
      </c>
      <c r="O10" s="166" t="s">
        <v>1108</v>
      </c>
    </row>
    <row r="11" spans="1:16" ht="126">
      <c r="A11" s="166" t="s">
        <v>16</v>
      </c>
      <c r="B11" s="169" t="s">
        <v>20</v>
      </c>
      <c r="C11" s="481" t="s">
        <v>1109</v>
      </c>
      <c r="D11" s="482" t="s">
        <v>1110</v>
      </c>
      <c r="E11" s="166">
        <v>2026</v>
      </c>
      <c r="I11" s="166" t="s">
        <v>20</v>
      </c>
      <c r="K11" s="166" t="s">
        <v>176</v>
      </c>
      <c r="M11" s="221" t="s">
        <v>1111</v>
      </c>
      <c r="N11" s="484">
        <v>42241370</v>
      </c>
    </row>
    <row r="12" spans="1:16" ht="15" customHeight="1">
      <c r="A12" s="179"/>
      <c r="B12" s="170"/>
    </row>
    <row r="14" spans="1:16" ht="15" customHeight="1">
      <c r="A14" s="193"/>
      <c r="B14" s="194"/>
    </row>
  </sheetData>
  <autoFilter ref="A1:P11" xr:uid="{F21052B4-43C0-4E6B-BDE7-052EDF04BCE3}"/>
  <hyperlinks>
    <hyperlink ref="M5" r:id="rId1" xr:uid="{FEDFC739-7123-4FAA-B347-7A61F0E3D18F}"/>
    <hyperlink ref="M6" r:id="rId2" xr:uid="{27432034-86F9-4313-9C9F-75371ADBF041}"/>
    <hyperlink ref="M7" r:id="rId3" xr:uid="{262F0357-3C8C-4EDF-8585-3B3E7EB9B514}"/>
    <hyperlink ref="M11" r:id="rId4" xr:uid="{A965A9F4-5FC3-4BEB-BE0D-D4DBC6D3E146}"/>
  </hyperlinks>
  <pageMargins left="0.7" right="0.7" top="0.75" bottom="0.75" header="0.3" footer="0.3"/>
  <pageSetup orientation="portrait" r:id="rId5"/>
  <extLst>
    <ext xmlns:x14="http://schemas.microsoft.com/office/spreadsheetml/2009/9/main" uri="{CCE6A557-97BC-4b89-ADB6-D9C93CAAB3DF}">
      <x14:dataValidations xmlns:xm="http://schemas.microsoft.com/office/excel/2006/main" count="2">
        <x14:dataValidation type="list" allowBlank="1" showInputMessage="1" showErrorMessage="1" xr:uid="{79658C75-DDAD-4783-AD64-F912A4DC6722}">
          <x14:formula1>
            <xm:f>#REF!</xm:f>
          </x14:formula1>
          <xm:sqref>A2:A524</xm:sqref>
        </x14:dataValidation>
        <x14:dataValidation type="list" allowBlank="1" showInputMessage="1" showErrorMessage="1" xr:uid="{030A8EB2-08D0-401E-A504-C5E0496792D0}">
          <x14:formula1>
            <xm:f>#REF!</xm:f>
          </x14:formula1>
          <xm:sqref>I2:I974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2"/>
  <sheetViews>
    <sheetView zoomScale="90" zoomScaleNormal="90" workbookViewId="0">
      <pane ySplit="1" topLeftCell="A2" activePane="bottomLeft" state="frozen"/>
      <selection pane="bottomLeft" activeCell="B1" sqref="B1"/>
      <selection activeCell="B1" sqref="B1"/>
    </sheetView>
  </sheetViews>
  <sheetFormatPr defaultColWidth="9.140625" defaultRowHeight="15" customHeight="1"/>
  <cols>
    <col min="1" max="1" width="23.140625" style="57" customWidth="1"/>
    <col min="2" max="2" width="27.140625" style="57" customWidth="1"/>
    <col min="3" max="3" width="40.42578125" style="60" customWidth="1"/>
    <col min="4" max="4" width="55.42578125" style="60" customWidth="1"/>
    <col min="5" max="5" width="7.42578125" style="60" customWidth="1"/>
    <col min="6" max="8" width="2.28515625" style="60" hidden="1" customWidth="1"/>
    <col min="9" max="9" width="8.5703125" style="60" customWidth="1"/>
    <col min="10" max="10" width="14.42578125" style="60" hidden="1" customWidth="1"/>
    <col min="11" max="11" width="11.42578125" style="60" bestFit="1" customWidth="1"/>
    <col min="12" max="12" width="2.28515625" style="60" hidden="1" customWidth="1"/>
    <col min="13" max="13" width="13.28515625" style="60" customWidth="1"/>
    <col min="14" max="14" width="15.28515625" style="60" customWidth="1"/>
    <col min="15" max="15" width="17" style="60" customWidth="1"/>
    <col min="16" max="16384" width="9.140625" style="60"/>
  </cols>
  <sheetData>
    <row r="1" spans="1:16" s="215" customFormat="1" ht="84.75" customHeight="1">
      <c r="A1" s="213" t="s">
        <v>0</v>
      </c>
      <c r="B1" s="214" t="s">
        <v>434</v>
      </c>
      <c r="C1" s="446" t="s">
        <v>2</v>
      </c>
      <c r="D1" s="446" t="s">
        <v>3</v>
      </c>
      <c r="E1" s="446" t="s">
        <v>4</v>
      </c>
      <c r="F1" s="446" t="s">
        <v>5</v>
      </c>
      <c r="G1" s="446" t="s">
        <v>6</v>
      </c>
      <c r="H1" s="446" t="s">
        <v>7</v>
      </c>
      <c r="I1" s="446" t="s">
        <v>8</v>
      </c>
      <c r="J1" s="447" t="s">
        <v>9</v>
      </c>
      <c r="K1" s="446" t="s">
        <v>10</v>
      </c>
      <c r="L1" s="446" t="s">
        <v>1008</v>
      </c>
      <c r="M1" s="446" t="s">
        <v>11</v>
      </c>
      <c r="N1" s="448" t="s">
        <v>13</v>
      </c>
      <c r="O1" s="446" t="s">
        <v>14</v>
      </c>
      <c r="P1" s="449" t="s">
        <v>15</v>
      </c>
    </row>
    <row r="2" spans="1:16" s="171" customFormat="1" ht="69" customHeight="1">
      <c r="A2" s="207" t="s">
        <v>16</v>
      </c>
      <c r="B2" s="208" t="s">
        <v>64</v>
      </c>
      <c r="C2" s="209" t="s">
        <v>1112</v>
      </c>
      <c r="D2" s="209" t="s">
        <v>1113</v>
      </c>
      <c r="E2" s="209">
        <v>2024</v>
      </c>
      <c r="F2" s="209" t="s">
        <v>21</v>
      </c>
      <c r="G2" s="209"/>
      <c r="H2" s="209"/>
      <c r="I2" s="209" t="s">
        <v>35</v>
      </c>
      <c r="J2" s="210">
        <v>45337</v>
      </c>
      <c r="K2" s="209" t="s">
        <v>21</v>
      </c>
      <c r="L2" s="209"/>
      <c r="M2" s="209" t="s">
        <v>1114</v>
      </c>
      <c r="N2" s="209">
        <v>38360476</v>
      </c>
      <c r="O2" s="211" t="s">
        <v>1115</v>
      </c>
      <c r="P2" s="212"/>
    </row>
    <row r="3" spans="1:16" ht="14.45">
      <c r="A3" s="365"/>
      <c r="B3" s="365"/>
      <c r="C3" s="63"/>
    </row>
    <row r="4" spans="1:16" ht="15" customHeight="1">
      <c r="A4" s="365"/>
      <c r="B4" s="365"/>
    </row>
    <row r="5" spans="1:16" ht="15" customHeight="1">
      <c r="A5" s="365"/>
      <c r="B5" s="365"/>
    </row>
    <row r="12" spans="1:16" ht="15" customHeight="1">
      <c r="A12" s="407"/>
      <c r="B12" s="407"/>
    </row>
  </sheetData>
  <dataValidations count="1">
    <dataValidation type="list" allowBlank="1" showInputMessage="1" showErrorMessage="1" sqref="I1 I368:I1048576" xr:uid="{12F84AEC-7867-4AF8-98C5-E2F7BB5A48AC}">
      <formula1>#REF!</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80AD7B81-6063-44AE-9C98-20117327F964}">
          <x14:formula1>
            <xm:f>#REF!</xm:f>
          </x14:formula1>
          <xm:sqref>A2:A524</xm:sqref>
        </x14:dataValidation>
        <x14:dataValidation type="list" allowBlank="1" showInputMessage="1" showErrorMessage="1" xr:uid="{9A2713B4-0F40-4271-96AA-F06C0A5D61EE}">
          <x14:formula1>
            <xm:f>#REF!</xm:f>
          </x14:formula1>
          <xm:sqref>I2:I367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zoomScale="90" zoomScaleNormal="90" workbookViewId="0">
      <pane ySplit="1" topLeftCell="A2" activePane="bottomLeft" state="frozen"/>
      <selection pane="bottomLeft" activeCell="D46" sqref="D46"/>
    </sheetView>
  </sheetViews>
  <sheetFormatPr defaultColWidth="9.140625" defaultRowHeight="12.75" customHeight="1"/>
  <cols>
    <col min="1" max="1" width="20.140625" style="36" customWidth="1"/>
    <col min="2" max="2" width="26.7109375" style="111" customWidth="1"/>
    <col min="3" max="3" width="51.42578125" style="11" customWidth="1"/>
    <col min="4" max="4" width="54.28515625" style="11" customWidth="1"/>
    <col min="5" max="5" width="8.5703125" style="10" customWidth="1"/>
    <col min="6" max="6" width="8.5703125" style="16" hidden="1" customWidth="1"/>
    <col min="7" max="7" width="8.5703125" style="11" hidden="1" customWidth="1"/>
    <col min="8" max="8" width="8.5703125" style="12" hidden="1" customWidth="1"/>
    <col min="9" max="9" width="8.5703125" style="11" customWidth="1"/>
    <col min="10" max="10" width="17.140625" style="11" hidden="1" customWidth="1"/>
    <col min="11" max="11" width="9.140625" style="11"/>
    <col min="12" max="12" width="9.140625" style="11" hidden="1" customWidth="1"/>
    <col min="13" max="13" width="18.28515625" style="16" customWidth="1"/>
    <col min="14" max="14" width="13.28515625" style="16" customWidth="1"/>
    <col min="15" max="15" width="14.85546875" style="16" customWidth="1"/>
    <col min="16" max="16384" width="9.140625" style="11"/>
  </cols>
  <sheetData>
    <row r="1" spans="1:16" s="2" customFormat="1" ht="51.95">
      <c r="A1" s="50" t="s">
        <v>0</v>
      </c>
      <c r="B1" s="101" t="s">
        <v>1116</v>
      </c>
      <c r="C1" s="2" t="s">
        <v>2</v>
      </c>
      <c r="D1" s="2" t="s">
        <v>3</v>
      </c>
      <c r="E1" s="8" t="s">
        <v>4</v>
      </c>
      <c r="F1" s="3" t="s">
        <v>5</v>
      </c>
      <c r="G1" s="2" t="s">
        <v>6</v>
      </c>
      <c r="H1" s="4" t="s">
        <v>7</v>
      </c>
      <c r="I1" s="2" t="s">
        <v>8</v>
      </c>
      <c r="J1" s="5" t="s">
        <v>9</v>
      </c>
      <c r="K1" s="3" t="s">
        <v>10</v>
      </c>
      <c r="L1" s="3" t="s">
        <v>530</v>
      </c>
      <c r="M1" s="3" t="s">
        <v>11</v>
      </c>
      <c r="N1" s="3" t="s">
        <v>13</v>
      </c>
      <c r="O1" s="3" t="s">
        <v>14</v>
      </c>
      <c r="P1" s="2" t="s">
        <v>15</v>
      </c>
    </row>
    <row r="2" spans="1:16" s="16" customFormat="1" ht="125.1">
      <c r="A2" s="366" t="s">
        <v>16</v>
      </c>
      <c r="B2" s="112" t="s">
        <v>1117</v>
      </c>
      <c r="C2" s="14" t="s">
        <v>1118</v>
      </c>
      <c r="D2" s="14" t="s">
        <v>1119</v>
      </c>
      <c r="E2" s="19">
        <v>2010</v>
      </c>
      <c r="F2" s="14" t="s">
        <v>1118</v>
      </c>
      <c r="G2" s="11"/>
      <c r="H2" s="12"/>
      <c r="I2" s="11"/>
      <c r="J2" s="103">
        <v>40458</v>
      </c>
      <c r="K2" s="11"/>
      <c r="L2" s="11"/>
      <c r="M2" s="16" t="s">
        <v>1120</v>
      </c>
      <c r="N2" s="16">
        <v>20929352</v>
      </c>
      <c r="O2" s="47"/>
    </row>
    <row r="3" spans="1:16" s="16" customFormat="1" ht="75">
      <c r="A3" s="366"/>
      <c r="B3" s="112" t="s">
        <v>1121</v>
      </c>
      <c r="C3" s="14" t="s">
        <v>1122</v>
      </c>
      <c r="D3" s="14" t="s">
        <v>1123</v>
      </c>
      <c r="E3" s="19">
        <v>2013</v>
      </c>
      <c r="F3" s="14" t="s">
        <v>1124</v>
      </c>
      <c r="G3" s="11"/>
      <c r="H3" s="12"/>
      <c r="I3" s="11"/>
      <c r="J3" s="29"/>
      <c r="K3" s="11"/>
      <c r="L3" s="11"/>
      <c r="M3" s="16" t="s">
        <v>1125</v>
      </c>
      <c r="N3" s="16">
        <v>23965729</v>
      </c>
      <c r="O3" s="16" t="s">
        <v>1126</v>
      </c>
    </row>
    <row r="4" spans="1:16" s="16" customFormat="1" ht="37.5">
      <c r="A4" s="366"/>
      <c r="B4" s="112" t="s">
        <v>1127</v>
      </c>
      <c r="C4" s="14" t="s">
        <v>1128</v>
      </c>
      <c r="D4" s="14" t="s">
        <v>1129</v>
      </c>
      <c r="E4" s="19">
        <v>2013</v>
      </c>
      <c r="F4" s="14" t="s">
        <v>1130</v>
      </c>
      <c r="G4" s="11"/>
      <c r="H4" s="12"/>
      <c r="I4" s="11"/>
      <c r="J4" s="103">
        <v>41275</v>
      </c>
      <c r="K4" s="11"/>
      <c r="L4" s="11"/>
      <c r="M4" s="16" t="s">
        <v>1131</v>
      </c>
      <c r="N4" s="16">
        <v>23442590</v>
      </c>
      <c r="O4" s="16" t="s">
        <v>1132</v>
      </c>
    </row>
    <row r="5" spans="1:16" s="16" customFormat="1" ht="50.1">
      <c r="A5" s="365"/>
      <c r="B5" s="112" t="s">
        <v>1133</v>
      </c>
      <c r="C5" s="14" t="s">
        <v>1134</v>
      </c>
      <c r="D5" s="14" t="s">
        <v>1135</v>
      </c>
      <c r="E5" s="19">
        <v>2013</v>
      </c>
      <c r="F5" s="14" t="s">
        <v>1136</v>
      </c>
      <c r="G5" s="11"/>
      <c r="H5" s="12"/>
      <c r="I5" s="11"/>
      <c r="J5" s="216" t="s">
        <v>1137</v>
      </c>
      <c r="K5" s="11"/>
      <c r="L5" s="11"/>
      <c r="M5" s="16" t="s">
        <v>1138</v>
      </c>
      <c r="N5" s="16">
        <v>23099425</v>
      </c>
      <c r="O5" s="16" t="s">
        <v>1139</v>
      </c>
    </row>
    <row r="6" spans="1:16" ht="37.5">
      <c r="A6" s="366"/>
      <c r="B6" s="112" t="s">
        <v>1140</v>
      </c>
      <c r="C6" s="14" t="s">
        <v>1141</v>
      </c>
      <c r="D6" s="14" t="s">
        <v>1142</v>
      </c>
      <c r="E6" s="19">
        <v>2014</v>
      </c>
      <c r="F6" s="14" t="s">
        <v>1143</v>
      </c>
      <c r="J6" s="103">
        <v>41930</v>
      </c>
      <c r="M6" s="16" t="s">
        <v>1144</v>
      </c>
      <c r="N6" s="16">
        <v>25734162</v>
      </c>
      <c r="O6" s="16" t="s">
        <v>1145</v>
      </c>
    </row>
    <row r="7" spans="1:16" ht="50.1">
      <c r="A7" s="366"/>
      <c r="B7" s="112" t="s">
        <v>64</v>
      </c>
      <c r="C7" s="14" t="s">
        <v>1146</v>
      </c>
      <c r="D7" s="14" t="s">
        <v>1147</v>
      </c>
      <c r="E7" s="19">
        <v>2014</v>
      </c>
      <c r="F7" s="14" t="s">
        <v>1148</v>
      </c>
      <c r="J7" s="103">
        <v>41878</v>
      </c>
      <c r="M7" s="16" t="s">
        <v>1149</v>
      </c>
      <c r="N7" s="16">
        <v>24280280</v>
      </c>
      <c r="O7" s="16" t="s">
        <v>1150</v>
      </c>
    </row>
    <row r="8" spans="1:16" ht="50.1">
      <c r="A8" s="450"/>
      <c r="B8" s="112" t="s">
        <v>64</v>
      </c>
      <c r="C8" s="14" t="s">
        <v>1146</v>
      </c>
      <c r="D8" s="14" t="s">
        <v>1147</v>
      </c>
      <c r="E8" s="19">
        <v>2014</v>
      </c>
      <c r="F8" s="14" t="s">
        <v>1148</v>
      </c>
      <c r="I8" s="29"/>
      <c r="J8" s="29"/>
      <c r="K8" s="29"/>
      <c r="M8" s="47"/>
      <c r="N8" s="47"/>
      <c r="O8" s="47"/>
      <c r="P8" s="29" t="s">
        <v>1151</v>
      </c>
    </row>
    <row r="9" spans="1:16" ht="26.25" customHeight="1">
      <c r="A9" s="366"/>
      <c r="B9" s="112" t="s">
        <v>1117</v>
      </c>
      <c r="C9" s="217" t="s">
        <v>1152</v>
      </c>
      <c r="D9" s="217" t="s">
        <v>1153</v>
      </c>
      <c r="E9" s="19">
        <v>2016</v>
      </c>
      <c r="F9" s="14" t="s">
        <v>1154</v>
      </c>
      <c r="J9" s="103">
        <v>42461</v>
      </c>
      <c r="M9" s="11" t="s">
        <v>1155</v>
      </c>
      <c r="N9" s="11">
        <v>26597262</v>
      </c>
      <c r="O9" s="11" t="s">
        <v>1156</v>
      </c>
    </row>
    <row r="10" spans="1:16" ht="12.75" customHeight="1">
      <c r="A10" s="379"/>
      <c r="B10" s="112" t="s">
        <v>1157</v>
      </c>
      <c r="C10" s="14" t="s">
        <v>1158</v>
      </c>
      <c r="D10" s="14" t="s">
        <v>1159</v>
      </c>
      <c r="E10" s="19">
        <v>2016</v>
      </c>
      <c r="F10" s="14" t="s">
        <v>1160</v>
      </c>
    </row>
    <row r="11" spans="1:16" ht="12.75" customHeight="1">
      <c r="A11" s="366"/>
      <c r="B11" s="112" t="s">
        <v>64</v>
      </c>
      <c r="C11" s="14" t="s">
        <v>1161</v>
      </c>
      <c r="D11" s="14" t="s">
        <v>1162</v>
      </c>
      <c r="E11" s="19">
        <v>2016</v>
      </c>
      <c r="F11" s="14" t="s">
        <v>1161</v>
      </c>
      <c r="G11" s="16"/>
      <c r="H11" s="18"/>
      <c r="I11" s="20"/>
      <c r="J11" s="16"/>
      <c r="K11" s="16"/>
      <c r="L11" s="16"/>
      <c r="M11" s="16" t="s">
        <v>1163</v>
      </c>
      <c r="N11" s="219">
        <v>27670074</v>
      </c>
      <c r="O11" s="16" t="s">
        <v>1164</v>
      </c>
    </row>
    <row r="12" spans="1:16" ht="12.75" customHeight="1">
      <c r="A12" s="407"/>
      <c r="B12" s="112" t="s">
        <v>1165</v>
      </c>
      <c r="C12" s="14" t="s">
        <v>1166</v>
      </c>
      <c r="D12" s="14" t="s">
        <v>1167</v>
      </c>
      <c r="E12" s="19">
        <v>2016</v>
      </c>
      <c r="F12" s="14" t="s">
        <v>1166</v>
      </c>
      <c r="J12" s="103">
        <v>42461</v>
      </c>
      <c r="M12" s="16" t="s">
        <v>1168</v>
      </c>
      <c r="N12" s="16">
        <v>27227293</v>
      </c>
    </row>
    <row r="13" spans="1:16" ht="12.75" customHeight="1">
      <c r="A13" s="366"/>
      <c r="B13" s="112" t="s">
        <v>1165</v>
      </c>
      <c r="C13" s="14" t="s">
        <v>1166</v>
      </c>
      <c r="D13" s="14" t="s">
        <v>1167</v>
      </c>
      <c r="E13" s="19">
        <v>2016</v>
      </c>
      <c r="F13" s="14" t="s">
        <v>1166</v>
      </c>
      <c r="I13" s="29"/>
      <c r="J13" s="29"/>
      <c r="K13" s="29"/>
      <c r="M13" s="47"/>
      <c r="N13" s="47"/>
      <c r="O13" s="47"/>
      <c r="P13" s="29" t="s">
        <v>1151</v>
      </c>
    </row>
    <row r="14" spans="1:16" ht="12.75" customHeight="1">
      <c r="A14" s="451"/>
      <c r="B14" s="112" t="s">
        <v>1169</v>
      </c>
      <c r="C14" s="14" t="s">
        <v>1170</v>
      </c>
      <c r="D14" s="14" t="s">
        <v>1171</v>
      </c>
      <c r="E14" s="19">
        <v>2017</v>
      </c>
      <c r="F14" s="14" t="s">
        <v>1130</v>
      </c>
      <c r="M14" s="16" t="s">
        <v>1172</v>
      </c>
      <c r="N14" s="16">
        <v>28338902</v>
      </c>
      <c r="O14" s="16" t="s">
        <v>1173</v>
      </c>
    </row>
    <row r="15" spans="1:16" ht="12.75" customHeight="1">
      <c r="A15" s="366"/>
      <c r="B15" s="112" t="s">
        <v>1174</v>
      </c>
      <c r="C15" s="14" t="s">
        <v>1175</v>
      </c>
      <c r="D15" s="14" t="s">
        <v>1176</v>
      </c>
      <c r="E15" s="19">
        <v>2017</v>
      </c>
      <c r="F15" s="14" t="s">
        <v>1177</v>
      </c>
      <c r="M15" s="16" t="s">
        <v>1178</v>
      </c>
      <c r="N15" s="16">
        <v>28505632</v>
      </c>
      <c r="O15" s="16" t="s">
        <v>1179</v>
      </c>
    </row>
    <row r="16" spans="1:16" ht="12.75" customHeight="1">
      <c r="A16" s="366"/>
      <c r="B16" s="112" t="s">
        <v>1140</v>
      </c>
      <c r="C16" s="14" t="s">
        <v>1180</v>
      </c>
      <c r="D16" s="14" t="s">
        <v>1181</v>
      </c>
      <c r="E16" s="19">
        <v>2017</v>
      </c>
      <c r="F16" s="14" t="s">
        <v>1182</v>
      </c>
      <c r="J16" s="103">
        <v>43077</v>
      </c>
      <c r="M16" s="16" t="s">
        <v>1183</v>
      </c>
      <c r="N16" s="16">
        <v>29308410</v>
      </c>
      <c r="O16" s="16" t="s">
        <v>1184</v>
      </c>
    </row>
    <row r="17" spans="1:16" ht="12.75" customHeight="1">
      <c r="A17" s="366"/>
      <c r="B17" s="112" t="s">
        <v>1140</v>
      </c>
      <c r="C17" s="14" t="s">
        <v>1180</v>
      </c>
      <c r="D17" s="14" t="s">
        <v>1181</v>
      </c>
      <c r="E17" s="19">
        <v>2017</v>
      </c>
      <c r="F17" s="14" t="s">
        <v>1182</v>
      </c>
      <c r="I17" s="29"/>
      <c r="J17" s="29"/>
      <c r="K17" s="29"/>
      <c r="M17" s="47"/>
      <c r="N17" s="47"/>
      <c r="O17" s="47"/>
      <c r="P17" s="29" t="s">
        <v>1151</v>
      </c>
    </row>
    <row r="18" spans="1:16" ht="12.75" customHeight="1">
      <c r="A18" s="366"/>
      <c r="B18" s="112" t="s">
        <v>64</v>
      </c>
      <c r="C18" s="14" t="s">
        <v>1185</v>
      </c>
      <c r="D18" s="14" t="s">
        <v>1186</v>
      </c>
      <c r="E18" s="19">
        <v>2017</v>
      </c>
      <c r="F18" s="14" t="s">
        <v>1187</v>
      </c>
    </row>
    <row r="19" spans="1:16" ht="12.75" customHeight="1">
      <c r="A19" s="366"/>
      <c r="B19" s="112" t="s">
        <v>1188</v>
      </c>
      <c r="C19" s="14" t="s">
        <v>1189</v>
      </c>
      <c r="D19" s="14" t="s">
        <v>1190</v>
      </c>
      <c r="E19" s="19">
        <v>2017</v>
      </c>
      <c r="F19" s="14" t="s">
        <v>1189</v>
      </c>
    </row>
    <row r="20" spans="1:16" ht="12.75" customHeight="1">
      <c r="A20" s="366"/>
      <c r="B20" s="112" t="s">
        <v>1191</v>
      </c>
      <c r="C20" s="14" t="s">
        <v>1192</v>
      </c>
      <c r="D20" s="14" t="s">
        <v>1193</v>
      </c>
      <c r="E20" s="19">
        <v>2018</v>
      </c>
      <c r="F20" s="14" t="s">
        <v>1194</v>
      </c>
    </row>
    <row r="21" spans="1:16" ht="12.75" customHeight="1">
      <c r="A21" s="366"/>
      <c r="B21" s="112" t="s">
        <v>1188</v>
      </c>
      <c r="C21" s="14" t="s">
        <v>1195</v>
      </c>
      <c r="D21" s="14" t="s">
        <v>1196</v>
      </c>
      <c r="E21" s="19">
        <v>2018</v>
      </c>
      <c r="F21" s="14" t="s">
        <v>1197</v>
      </c>
    </row>
    <row r="22" spans="1:16" ht="12.75" customHeight="1">
      <c r="A22" s="366"/>
      <c r="B22" s="112" t="s">
        <v>32</v>
      </c>
      <c r="C22" s="14" t="s">
        <v>1198</v>
      </c>
      <c r="D22" s="14" t="s">
        <v>1199</v>
      </c>
      <c r="E22" s="19">
        <v>2018</v>
      </c>
      <c r="F22" s="14" t="s">
        <v>1200</v>
      </c>
    </row>
    <row r="23" spans="1:16" ht="12.75" customHeight="1">
      <c r="A23" s="366"/>
      <c r="B23" s="112" t="s">
        <v>64</v>
      </c>
      <c r="C23" s="14" t="s">
        <v>1201</v>
      </c>
      <c r="D23" s="14" t="s">
        <v>1202</v>
      </c>
      <c r="E23" s="19">
        <v>2018</v>
      </c>
      <c r="F23" s="14" t="s">
        <v>1203</v>
      </c>
    </row>
    <row r="24" spans="1:16" ht="12.75" customHeight="1">
      <c r="A24" s="366"/>
      <c r="B24" s="112" t="s">
        <v>64</v>
      </c>
      <c r="C24" s="14" t="s">
        <v>1204</v>
      </c>
      <c r="D24" s="14" t="s">
        <v>1205</v>
      </c>
      <c r="E24" s="19">
        <v>2018</v>
      </c>
      <c r="F24" s="14" t="s">
        <v>1206</v>
      </c>
    </row>
    <row r="25" spans="1:16" ht="12.75" customHeight="1">
      <c r="A25" s="366"/>
      <c r="B25" s="112" t="s">
        <v>64</v>
      </c>
      <c r="C25" s="14" t="s">
        <v>1207</v>
      </c>
      <c r="D25" s="14" t="s">
        <v>1208</v>
      </c>
      <c r="E25" s="19">
        <v>2018</v>
      </c>
      <c r="F25" s="14" t="s">
        <v>1209</v>
      </c>
    </row>
    <row r="26" spans="1:16" ht="39.950000000000003" customHeight="1">
      <c r="A26" s="366" t="s">
        <v>16</v>
      </c>
      <c r="B26" s="112" t="s">
        <v>64</v>
      </c>
      <c r="C26" s="14" t="s">
        <v>1210</v>
      </c>
      <c r="D26" s="14" t="s">
        <v>1211</v>
      </c>
      <c r="E26" s="19">
        <v>2020</v>
      </c>
      <c r="F26" s="14" t="s">
        <v>1212</v>
      </c>
      <c r="G26" s="16"/>
      <c r="H26" s="18"/>
      <c r="I26" s="16" t="s">
        <v>35</v>
      </c>
      <c r="J26" s="16"/>
      <c r="K26" s="16"/>
      <c r="L26" s="16"/>
      <c r="M26" s="16" t="s">
        <v>1213</v>
      </c>
      <c r="N26" s="16">
        <v>32586760</v>
      </c>
      <c r="O26" s="16" t="s">
        <v>1214</v>
      </c>
    </row>
    <row r="27" spans="1:16" ht="39.950000000000003" customHeight="1">
      <c r="A27" s="366" t="s">
        <v>16</v>
      </c>
      <c r="B27" s="112" t="s">
        <v>1215</v>
      </c>
      <c r="C27" s="14" t="s">
        <v>1216</v>
      </c>
      <c r="D27" s="14" t="s">
        <v>1217</v>
      </c>
      <c r="E27" s="19">
        <v>2020</v>
      </c>
      <c r="F27" s="14" t="s">
        <v>1218</v>
      </c>
      <c r="I27" s="16" t="s">
        <v>35</v>
      </c>
      <c r="M27" s="16" t="s">
        <v>1219</v>
      </c>
      <c r="N27" s="16">
        <v>31816033</v>
      </c>
      <c r="O27" s="16" t="s">
        <v>1220</v>
      </c>
    </row>
    <row r="28" spans="1:16" ht="39.950000000000003" customHeight="1">
      <c r="A28" s="366" t="s">
        <v>16</v>
      </c>
      <c r="B28" s="112" t="s">
        <v>64</v>
      </c>
      <c r="C28" s="14" t="s">
        <v>1221</v>
      </c>
      <c r="D28" s="14" t="s">
        <v>1222</v>
      </c>
      <c r="E28" s="19">
        <v>2020</v>
      </c>
      <c r="F28" s="14" t="s">
        <v>1223</v>
      </c>
      <c r="G28" s="16"/>
      <c r="H28" s="18"/>
      <c r="I28" s="16" t="s">
        <v>35</v>
      </c>
      <c r="J28" s="16"/>
      <c r="K28" s="16"/>
      <c r="L28" s="16"/>
      <c r="M28" s="16" t="s">
        <v>1224</v>
      </c>
      <c r="N28" s="16">
        <v>31883808</v>
      </c>
      <c r="O28" s="47"/>
    </row>
    <row r="29" spans="1:16" ht="39.950000000000003" customHeight="1">
      <c r="A29" s="366" t="s">
        <v>16</v>
      </c>
      <c r="B29" s="112" t="s">
        <v>1225</v>
      </c>
      <c r="C29" s="14" t="s">
        <v>1226</v>
      </c>
      <c r="D29" s="14" t="s">
        <v>1227</v>
      </c>
      <c r="E29" s="19">
        <v>2020</v>
      </c>
      <c r="F29" s="14" t="s">
        <v>1228</v>
      </c>
      <c r="I29" s="16" t="s">
        <v>35</v>
      </c>
      <c r="M29" s="16" t="s">
        <v>1229</v>
      </c>
      <c r="N29" s="16">
        <v>32095076</v>
      </c>
      <c r="O29" s="16" t="s">
        <v>1230</v>
      </c>
    </row>
    <row r="30" spans="1:16" ht="39.950000000000003" customHeight="1">
      <c r="A30" s="366" t="s">
        <v>16</v>
      </c>
      <c r="B30" s="112" t="s">
        <v>1191</v>
      </c>
      <c r="C30" s="14" t="s">
        <v>1231</v>
      </c>
      <c r="D30" s="14" t="s">
        <v>1232</v>
      </c>
      <c r="E30" s="19">
        <v>2021</v>
      </c>
      <c r="F30" s="14" t="s">
        <v>1233</v>
      </c>
      <c r="I30" s="16" t="s">
        <v>35</v>
      </c>
      <c r="M30" s="16" t="s">
        <v>1234</v>
      </c>
      <c r="N30" s="16">
        <v>32766827</v>
      </c>
      <c r="O30" s="47"/>
    </row>
    <row r="31" spans="1:16" ht="39.950000000000003" customHeight="1">
      <c r="A31" s="366" t="s">
        <v>16</v>
      </c>
      <c r="B31" s="112" t="s">
        <v>1191</v>
      </c>
      <c r="C31" s="14" t="s">
        <v>1235</v>
      </c>
      <c r="D31" s="14" t="s">
        <v>1236</v>
      </c>
      <c r="E31" s="19">
        <v>2021</v>
      </c>
      <c r="F31" s="14" t="s">
        <v>1237</v>
      </c>
      <c r="I31" s="16" t="s">
        <v>35</v>
      </c>
      <c r="M31" s="16" t="s">
        <v>1238</v>
      </c>
      <c r="N31" s="16">
        <v>33977297</v>
      </c>
      <c r="O31" s="16" t="s">
        <v>1239</v>
      </c>
    </row>
    <row r="32" spans="1:16" ht="39.950000000000003" customHeight="1">
      <c r="A32" s="366" t="s">
        <v>16</v>
      </c>
      <c r="B32" s="47" t="s">
        <v>206</v>
      </c>
      <c r="C32" s="16" t="s">
        <v>1240</v>
      </c>
      <c r="D32" s="16" t="s">
        <v>1241</v>
      </c>
      <c r="E32" s="10">
        <v>2023</v>
      </c>
      <c r="I32" s="16" t="s">
        <v>35</v>
      </c>
      <c r="J32" s="13">
        <v>44950</v>
      </c>
      <c r="K32" s="11" t="s">
        <v>21</v>
      </c>
      <c r="M32" s="65" t="s">
        <v>1242</v>
      </c>
      <c r="N32" s="16">
        <v>36851132</v>
      </c>
      <c r="O32" s="16" t="s">
        <v>1243</v>
      </c>
    </row>
    <row r="33" spans="1:16" ht="39.950000000000003" customHeight="1">
      <c r="A33" s="366" t="s">
        <v>16</v>
      </c>
      <c r="B33" s="113" t="s">
        <v>1244</v>
      </c>
      <c r="C33" s="64" t="s">
        <v>1245</v>
      </c>
      <c r="D33" s="65" t="s">
        <v>1246</v>
      </c>
      <c r="E33" s="68">
        <v>2024</v>
      </c>
      <c r="F33" s="65" t="s">
        <v>1245</v>
      </c>
      <c r="G33" s="30"/>
      <c r="H33" s="30" t="s">
        <v>1247</v>
      </c>
      <c r="I33" s="30" t="s">
        <v>72</v>
      </c>
      <c r="J33" s="30">
        <v>2023</v>
      </c>
      <c r="K33" s="30" t="s">
        <v>21</v>
      </c>
      <c r="M33" s="16" t="s">
        <v>75</v>
      </c>
      <c r="N33" s="16" t="s">
        <v>75</v>
      </c>
      <c r="O33" s="16" t="s">
        <v>75</v>
      </c>
      <c r="P33" s="102" t="s">
        <v>1248</v>
      </c>
    </row>
    <row r="34" spans="1:16" ht="39.950000000000003" customHeight="1">
      <c r="A34" s="366" t="s">
        <v>16</v>
      </c>
      <c r="B34" s="114" t="s">
        <v>1244</v>
      </c>
      <c r="C34" s="66" t="s">
        <v>1249</v>
      </c>
      <c r="D34" s="67" t="s">
        <v>1250</v>
      </c>
      <c r="E34" s="69">
        <v>2024</v>
      </c>
      <c r="F34" s="67"/>
      <c r="G34" s="31"/>
      <c r="H34" s="31" t="s">
        <v>1251</v>
      </c>
      <c r="I34" s="31" t="s">
        <v>72</v>
      </c>
      <c r="J34" s="31">
        <v>2023</v>
      </c>
      <c r="K34" s="31" t="s">
        <v>21</v>
      </c>
      <c r="M34" s="16" t="s">
        <v>75</v>
      </c>
      <c r="N34" s="16" t="s">
        <v>75</v>
      </c>
      <c r="O34" s="16" t="s">
        <v>75</v>
      </c>
      <c r="P34" s="31" t="s">
        <v>1252</v>
      </c>
    </row>
    <row r="35" spans="1:16" ht="39.950000000000003" customHeight="1">
      <c r="A35" s="366" t="s">
        <v>16</v>
      </c>
      <c r="B35" s="105" t="s">
        <v>1253</v>
      </c>
      <c r="C35" s="98" t="s">
        <v>1254</v>
      </c>
      <c r="D35" s="99" t="s">
        <v>1255</v>
      </c>
      <c r="E35" s="10">
        <v>2024</v>
      </c>
      <c r="F35" s="16" t="s">
        <v>1256</v>
      </c>
      <c r="G35" s="41" t="s">
        <v>1257</v>
      </c>
      <c r="H35" s="41" t="s">
        <v>1258</v>
      </c>
      <c r="I35" s="11" t="s">
        <v>35</v>
      </c>
      <c r="J35" s="13">
        <v>45656</v>
      </c>
      <c r="K35" s="11" t="s">
        <v>21</v>
      </c>
      <c r="M35" s="16" t="s">
        <v>1259</v>
      </c>
      <c r="N35" s="16">
        <v>39592261</v>
      </c>
      <c r="O35" s="16" t="s">
        <v>1260</v>
      </c>
    </row>
    <row r="36" spans="1:16" ht="39.950000000000003" customHeight="1">
      <c r="A36" s="366" t="s">
        <v>16</v>
      </c>
      <c r="B36" s="105" t="s">
        <v>1253</v>
      </c>
      <c r="C36" s="99" t="s">
        <v>1261</v>
      </c>
      <c r="D36" s="99" t="s">
        <v>1262</v>
      </c>
      <c r="E36" s="10">
        <v>2024</v>
      </c>
      <c r="F36" s="16" t="s">
        <v>1256</v>
      </c>
      <c r="G36" s="11" t="s">
        <v>1257</v>
      </c>
      <c r="H36" s="41" t="s">
        <v>1263</v>
      </c>
      <c r="I36" s="11" t="s">
        <v>35</v>
      </c>
      <c r="J36" s="13">
        <v>45656</v>
      </c>
      <c r="K36" s="11" t="s">
        <v>21</v>
      </c>
      <c r="M36" s="16" t="s">
        <v>1264</v>
      </c>
      <c r="N36" s="16">
        <v>39592252</v>
      </c>
      <c r="O36" s="16" t="s">
        <v>1265</v>
      </c>
    </row>
    <row r="37" spans="1:16" ht="39.950000000000003" customHeight="1">
      <c r="A37" s="366" t="s">
        <v>16</v>
      </c>
      <c r="B37" s="105" t="s">
        <v>1266</v>
      </c>
      <c r="C37" s="98" t="s">
        <v>1267</v>
      </c>
      <c r="D37" s="99" t="s">
        <v>1268</v>
      </c>
      <c r="E37" s="10">
        <v>2024</v>
      </c>
      <c r="F37" s="16" t="s">
        <v>1256</v>
      </c>
      <c r="I37" s="11" t="s">
        <v>35</v>
      </c>
      <c r="J37" s="17" t="s">
        <v>1269</v>
      </c>
      <c r="K37" s="11" t="s">
        <v>21</v>
      </c>
      <c r="M37" s="16" t="s">
        <v>1270</v>
      </c>
      <c r="N37" s="16">
        <v>39499668</v>
      </c>
      <c r="O37" s="47"/>
    </row>
    <row r="38" spans="1:16" ht="72" customHeight="1">
      <c r="A38" s="366" t="s">
        <v>16</v>
      </c>
      <c r="B38" s="29" t="s">
        <v>1215</v>
      </c>
      <c r="C38" s="16" t="s">
        <v>1271</v>
      </c>
      <c r="D38" s="16" t="s">
        <v>1272</v>
      </c>
      <c r="E38" s="10">
        <v>2025</v>
      </c>
      <c r="F38" s="16" t="s">
        <v>176</v>
      </c>
      <c r="I38" s="11" t="s">
        <v>35</v>
      </c>
      <c r="K38" s="11" t="s">
        <v>21</v>
      </c>
      <c r="L38" s="46"/>
      <c r="M38" s="70" t="s">
        <v>1273</v>
      </c>
      <c r="N38" s="16">
        <v>39761016</v>
      </c>
      <c r="O38" s="16" t="s">
        <v>1274</v>
      </c>
    </row>
    <row r="39" spans="1:16" ht="45" customHeight="1">
      <c r="A39" s="93" t="s">
        <v>1275</v>
      </c>
      <c r="B39" s="110" t="s">
        <v>1276</v>
      </c>
      <c r="C39" s="93" t="s">
        <v>1277</v>
      </c>
      <c r="D39" s="93" t="s">
        <v>1278</v>
      </c>
      <c r="E39" s="10">
        <v>2025</v>
      </c>
      <c r="F39" s="16" t="s">
        <v>176</v>
      </c>
      <c r="I39" s="11" t="s">
        <v>35</v>
      </c>
      <c r="K39" s="11" t="s">
        <v>272</v>
      </c>
    </row>
    <row r="40" spans="1:16" ht="39.950000000000003" customHeight="1">
      <c r="A40" s="366" t="s">
        <v>16</v>
      </c>
      <c r="B40" s="29" t="s">
        <v>1279</v>
      </c>
      <c r="C40" s="64" t="s">
        <v>1245</v>
      </c>
      <c r="D40" s="65" t="s">
        <v>1246</v>
      </c>
      <c r="E40" s="10">
        <v>2025</v>
      </c>
      <c r="F40" s="16" t="s">
        <v>21</v>
      </c>
      <c r="I40" s="11" t="s">
        <v>72</v>
      </c>
      <c r="J40" s="103">
        <v>45770</v>
      </c>
      <c r="K40" s="11" t="s">
        <v>21</v>
      </c>
      <c r="P40" s="33" t="s">
        <v>1280</v>
      </c>
    </row>
    <row r="41" spans="1:16" ht="12.75" customHeight="1">
      <c r="A41" s="366" t="s">
        <v>16</v>
      </c>
      <c r="B41" s="29" t="s">
        <v>1279</v>
      </c>
      <c r="C41" s="66" t="s">
        <v>1249</v>
      </c>
      <c r="D41" s="67" t="s">
        <v>1250</v>
      </c>
      <c r="E41" s="10">
        <v>2025</v>
      </c>
      <c r="F41" s="16" t="s">
        <v>176</v>
      </c>
      <c r="I41" s="11" t="s">
        <v>72</v>
      </c>
      <c r="J41" s="103">
        <v>45770</v>
      </c>
      <c r="K41" s="11" t="s">
        <v>21</v>
      </c>
      <c r="P41" s="33" t="s">
        <v>1281</v>
      </c>
    </row>
    <row r="42" spans="1:16" ht="43.5" customHeight="1">
      <c r="A42" s="366" t="s">
        <v>16</v>
      </c>
      <c r="B42" s="29" t="s">
        <v>1191</v>
      </c>
      <c r="C42" s="16" t="s">
        <v>1282</v>
      </c>
      <c r="D42" s="16" t="s">
        <v>1283</v>
      </c>
      <c r="E42" s="10">
        <v>2025</v>
      </c>
      <c r="F42" s="16" t="s">
        <v>21</v>
      </c>
      <c r="I42" s="11" t="s">
        <v>35</v>
      </c>
      <c r="J42" s="109">
        <v>45860</v>
      </c>
      <c r="K42" s="11" t="s">
        <v>693</v>
      </c>
      <c r="M42" s="16" t="s">
        <v>1284</v>
      </c>
      <c r="N42" s="16">
        <v>40696772</v>
      </c>
      <c r="P42" s="33" t="s">
        <v>1285</v>
      </c>
    </row>
    <row r="43" spans="1:16" s="16" customFormat="1" ht="45" customHeight="1">
      <c r="A43" s="365" t="s">
        <v>379</v>
      </c>
      <c r="B43" s="47" t="s">
        <v>1286</v>
      </c>
      <c r="C43" s="16" t="s">
        <v>1287</v>
      </c>
      <c r="D43" s="16" t="s">
        <v>1288</v>
      </c>
      <c r="E43" s="15">
        <v>2025</v>
      </c>
      <c r="F43" s="16" t="s">
        <v>21</v>
      </c>
      <c r="H43" s="18"/>
      <c r="I43" s="16" t="s">
        <v>35</v>
      </c>
    </row>
    <row r="44" spans="1:16" ht="12.75" customHeight="1">
      <c r="A44" s="366" t="s">
        <v>16</v>
      </c>
      <c r="B44" s="29" t="s">
        <v>1289</v>
      </c>
      <c r="C44" s="16" t="s">
        <v>1290</v>
      </c>
      <c r="D44" s="16" t="s">
        <v>1291</v>
      </c>
      <c r="E44" s="10">
        <v>2025</v>
      </c>
      <c r="F44" s="16" t="s">
        <v>176</v>
      </c>
      <c r="I44" s="11" t="s">
        <v>35</v>
      </c>
      <c r="J44" s="103">
        <v>45730</v>
      </c>
      <c r="K44" s="11" t="s">
        <v>21</v>
      </c>
      <c r="M44" s="16" t="s">
        <v>1292</v>
      </c>
      <c r="N44" s="16">
        <v>40092054</v>
      </c>
      <c r="O44" s="16" t="s">
        <v>1293</v>
      </c>
      <c r="P44" s="33" t="s">
        <v>1294</v>
      </c>
    </row>
    <row r="45" spans="1:16" ht="12.75" customHeight="1">
      <c r="A45" s="366" t="s">
        <v>16</v>
      </c>
      <c r="B45" s="29" t="s">
        <v>1295</v>
      </c>
      <c r="C45" s="16" t="s">
        <v>1296</v>
      </c>
      <c r="D45" s="16" t="s">
        <v>1297</v>
      </c>
      <c r="E45" s="10">
        <v>2024</v>
      </c>
      <c r="F45" s="16" t="s">
        <v>176</v>
      </c>
      <c r="I45" s="11" t="s">
        <v>35</v>
      </c>
      <c r="J45" s="103">
        <v>45583</v>
      </c>
      <c r="K45" s="11" t="s">
        <v>21</v>
      </c>
      <c r="M45" s="16" t="s">
        <v>1298</v>
      </c>
      <c r="N45" s="16">
        <v>39425035</v>
      </c>
      <c r="O45" s="16" t="s">
        <v>1299</v>
      </c>
      <c r="P45" s="33" t="s">
        <v>1300</v>
      </c>
    </row>
    <row r="46" spans="1:16" ht="12.75" customHeight="1">
      <c r="A46" s="366" t="s">
        <v>1301</v>
      </c>
      <c r="B46" s="367" t="s">
        <v>1276</v>
      </c>
      <c r="C46" s="11" t="s">
        <v>1302</v>
      </c>
      <c r="D46" s="11" t="s">
        <v>1303</v>
      </c>
      <c r="E46" s="10">
        <v>2026</v>
      </c>
      <c r="I46" s="11" t="s">
        <v>35</v>
      </c>
      <c r="K46" s="11" t="s">
        <v>176</v>
      </c>
    </row>
  </sheetData>
  <autoFilter ref="A1:O46" xr:uid="{00000000-0001-0000-0000-000000000000}"/>
  <sortState xmlns:xlrd2="http://schemas.microsoft.com/office/spreadsheetml/2017/richdata2" ref="C2:K32">
    <sortCondition ref="E2:E32"/>
  </sortState>
  <dataValidations count="2">
    <dataValidation type="list" allowBlank="1" showInputMessage="1" showErrorMessage="1" sqref="I2:I3 I816:I1048576 I9:I25" xr:uid="{8F71FDCF-4AE1-43EB-B6C4-C612A3C1908D}">
      <formula1>#REF!</formula1>
    </dataValidation>
    <dataValidation type="list" allowBlank="1" showInputMessage="1" showErrorMessage="1" sqref="I4:I8" xr:uid="{8EF44782-5977-4EBB-A5D8-60B4357ECCE4}"/>
  </dataValidations>
  <hyperlinks>
    <hyperlink ref="P33" r:id="rId1" xr:uid="{2FFC4532-2507-4994-8800-C30A934EBDAC}"/>
    <hyperlink ref="P41" r:id="rId2" xr:uid="{834AC74D-0698-47FD-B19D-400664D26718}"/>
    <hyperlink ref="P40" r:id="rId3" xr:uid="{BB34BE59-4291-4890-AC3C-9768A7CFCCF0}"/>
    <hyperlink ref="P44" r:id="rId4" xr:uid="{CAD0A33E-7915-40EB-82A4-2828F1B957A2}"/>
    <hyperlink ref="P45" r:id="rId5" xr:uid="{175BCA7B-7A0D-4513-9362-3E398089215A}"/>
    <hyperlink ref="P42" r:id="rId6" xr:uid="{9A30354F-7F0E-4674-86E7-05500A58EE52}"/>
  </hyperlinks>
  <pageMargins left="0.7" right="0.7" top="0.75" bottom="0.75" header="0.3" footer="0.3"/>
  <pageSetup orientation="portrait" r:id="rId7"/>
  <extLst>
    <ext xmlns:x14="http://schemas.microsoft.com/office/spreadsheetml/2009/9/main" uri="{CCE6A557-97BC-4b89-ADB6-D9C93CAAB3DF}">
      <x14:dataValidations xmlns:xm="http://schemas.microsoft.com/office/excel/2006/main" count="2">
        <x14:dataValidation type="list" allowBlank="1" showInputMessage="1" showErrorMessage="1" xr:uid="{8F16E35E-4B3C-4BA3-9173-F4D1B57DBE17}">
          <x14:formula1>
            <xm:f>#REF!</xm:f>
          </x14:formula1>
          <xm:sqref>A40:A524 A2:A38</xm:sqref>
        </x14:dataValidation>
        <x14:dataValidation type="list" allowBlank="1" showInputMessage="1" showErrorMessage="1" xr:uid="{93F770C3-546F-4005-8CBA-567A44870AF7}">
          <x14:formula1>
            <xm:f>#REF!</xm:f>
          </x14:formula1>
          <xm:sqref>I26:I815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EC39-7F3C-4FA4-8B4E-9C93811FBD34}">
  <dimension ref="A1:S259"/>
  <sheetViews>
    <sheetView zoomScale="90" zoomScaleNormal="90" workbookViewId="0">
      <pane ySplit="1" topLeftCell="A193" activePane="bottomLeft" state="frozen"/>
      <selection pane="bottomLeft" activeCell="F107" sqref="F107"/>
    </sheetView>
  </sheetViews>
  <sheetFormatPr defaultColWidth="9.140625" defaultRowHeight="15" customHeight="1"/>
  <cols>
    <col min="1" max="1" width="20.85546875" style="166" customWidth="1"/>
    <col min="2" max="2" width="23.140625" style="166" bestFit="1" customWidth="1"/>
    <col min="3" max="3" width="30.7109375" style="169" bestFit="1" customWidth="1"/>
    <col min="4" max="4" width="41.28515625" style="166" customWidth="1"/>
    <col min="5" max="5" width="48" style="171" customWidth="1"/>
    <col min="6" max="6" width="9.140625" style="166"/>
    <col min="7" max="7" width="25.42578125" style="166" hidden="1" customWidth="1"/>
    <col min="8" max="8" width="30.7109375" style="166" hidden="1" customWidth="1"/>
    <col min="9" max="9" width="11.85546875" style="166" hidden="1" customWidth="1"/>
    <col min="10" max="10" width="11.85546875" style="166" customWidth="1"/>
    <col min="11" max="11" width="30.7109375" style="166" hidden="1" customWidth="1"/>
    <col min="12" max="12" width="16" style="166" bestFit="1" customWidth="1"/>
    <col min="13" max="13" width="30.7109375" style="171" bestFit="1" customWidth="1"/>
    <col min="14" max="14" width="23.28515625" style="167" customWidth="1"/>
    <col min="15" max="15" width="16.28515625" style="166" customWidth="1"/>
    <col min="16" max="16" width="30.7109375" style="167" bestFit="1" customWidth="1"/>
    <col min="17" max="16384" width="9.140625" style="166"/>
  </cols>
  <sheetData>
    <row r="1" spans="1:16" s="338" customFormat="1" ht="77.45">
      <c r="A1" s="330" t="s">
        <v>1304</v>
      </c>
      <c r="B1" s="331" t="s">
        <v>0</v>
      </c>
      <c r="C1" s="331" t="s">
        <v>434</v>
      </c>
      <c r="D1" s="332" t="s">
        <v>2</v>
      </c>
      <c r="E1" s="331" t="s">
        <v>3</v>
      </c>
      <c r="F1" s="332" t="s">
        <v>4</v>
      </c>
      <c r="G1" s="333" t="s">
        <v>6</v>
      </c>
      <c r="H1" s="334" t="s">
        <v>7</v>
      </c>
      <c r="I1" s="332" t="s">
        <v>8</v>
      </c>
      <c r="J1" s="332" t="s">
        <v>1305</v>
      </c>
      <c r="K1" s="335" t="s">
        <v>9</v>
      </c>
      <c r="L1" s="331" t="s">
        <v>10</v>
      </c>
      <c r="M1" s="331" t="s">
        <v>11</v>
      </c>
      <c r="N1" s="336" t="s">
        <v>13</v>
      </c>
      <c r="O1" s="332" t="s">
        <v>14</v>
      </c>
      <c r="P1" s="337" t="s">
        <v>15</v>
      </c>
    </row>
    <row r="2" spans="1:16" ht="75.75" hidden="1" customHeight="1">
      <c r="A2" s="318" t="s">
        <v>1306</v>
      </c>
      <c r="B2" s="166" t="s">
        <v>16</v>
      </c>
      <c r="C2" s="169" t="s">
        <v>64</v>
      </c>
      <c r="D2" s="173" t="s">
        <v>1069</v>
      </c>
      <c r="E2" s="171" t="s">
        <v>1070</v>
      </c>
      <c r="F2" s="166">
        <v>2023</v>
      </c>
      <c r="G2" s="166" t="s">
        <v>1071</v>
      </c>
      <c r="H2" s="166" t="s">
        <v>1071</v>
      </c>
      <c r="I2" s="166" t="s">
        <v>35</v>
      </c>
      <c r="J2" s="166" t="s">
        <v>35</v>
      </c>
      <c r="K2" s="172">
        <v>45137</v>
      </c>
      <c r="L2" s="166" t="s">
        <v>21</v>
      </c>
      <c r="M2" s="171" t="s">
        <v>1072</v>
      </c>
      <c r="N2" s="167">
        <v>11068153</v>
      </c>
      <c r="O2" s="169"/>
    </row>
    <row r="3" spans="1:16" ht="69.95" hidden="1">
      <c r="A3" s="318" t="s">
        <v>1306</v>
      </c>
      <c r="B3" s="166" t="s">
        <v>16</v>
      </c>
      <c r="C3" s="169" t="s">
        <v>20</v>
      </c>
      <c r="D3" s="171" t="s">
        <v>1073</v>
      </c>
      <c r="E3" s="171" t="s">
        <v>1074</v>
      </c>
      <c r="F3" s="166">
        <v>2023</v>
      </c>
      <c r="G3" s="166">
        <v>72</v>
      </c>
      <c r="H3" s="166" t="s">
        <v>1075</v>
      </c>
      <c r="I3" s="166" t="s">
        <v>20</v>
      </c>
      <c r="J3" s="166" t="s">
        <v>20</v>
      </c>
      <c r="K3" s="172">
        <v>45162</v>
      </c>
      <c r="L3" s="166" t="s">
        <v>21</v>
      </c>
      <c r="M3" s="171" t="s">
        <v>1076</v>
      </c>
      <c r="N3" s="255">
        <v>37616235</v>
      </c>
      <c r="O3" s="166" t="s">
        <v>1077</v>
      </c>
      <c r="P3" s="255"/>
    </row>
    <row r="4" spans="1:16" ht="45.75" hidden="1" customHeight="1">
      <c r="A4" s="318" t="s">
        <v>1306</v>
      </c>
      <c r="B4" s="166" t="s">
        <v>16</v>
      </c>
      <c r="C4" s="169" t="s">
        <v>20</v>
      </c>
      <c r="D4" s="196" t="s">
        <v>1078</v>
      </c>
      <c r="E4" s="181" t="s">
        <v>1079</v>
      </c>
      <c r="F4" s="166">
        <v>2023</v>
      </c>
      <c r="G4" s="166">
        <v>72</v>
      </c>
      <c r="I4" s="166" t="s">
        <v>20</v>
      </c>
      <c r="J4" s="166" t="s">
        <v>20</v>
      </c>
      <c r="K4" s="172">
        <v>45209</v>
      </c>
      <c r="L4" s="166" t="s">
        <v>21</v>
      </c>
      <c r="M4" s="171" t="s">
        <v>1081</v>
      </c>
      <c r="N4" s="256">
        <v>37856366</v>
      </c>
      <c r="O4" s="166" t="s">
        <v>1082</v>
      </c>
      <c r="P4" s="256"/>
    </row>
    <row r="5" spans="1:16" ht="98.1" hidden="1">
      <c r="A5" s="318" t="s">
        <v>1306</v>
      </c>
      <c r="B5" s="171" t="s">
        <v>16</v>
      </c>
      <c r="C5" s="169" t="s">
        <v>64</v>
      </c>
      <c r="D5" s="171" t="s">
        <v>1084</v>
      </c>
      <c r="E5" s="171" t="s">
        <v>1085</v>
      </c>
      <c r="F5" s="166">
        <v>2023</v>
      </c>
      <c r="G5" s="166" t="s">
        <v>1071</v>
      </c>
      <c r="H5" s="166" t="s">
        <v>1071</v>
      </c>
      <c r="I5" s="166" t="s">
        <v>35</v>
      </c>
      <c r="J5" s="166" t="s">
        <v>35</v>
      </c>
      <c r="K5" s="172">
        <v>45289</v>
      </c>
      <c r="L5" s="166" t="s">
        <v>21</v>
      </c>
      <c r="M5" s="163" t="s">
        <v>1087</v>
      </c>
      <c r="N5" s="167">
        <v>38158297</v>
      </c>
      <c r="O5" s="168" t="s">
        <v>1088</v>
      </c>
    </row>
    <row r="6" spans="1:16" ht="111.95" hidden="1">
      <c r="A6" s="318" t="s">
        <v>1306</v>
      </c>
      <c r="B6" s="166" t="s">
        <v>16</v>
      </c>
      <c r="C6" s="169" t="s">
        <v>64</v>
      </c>
      <c r="D6" s="173" t="s">
        <v>1089</v>
      </c>
      <c r="E6" s="171" t="s">
        <v>1090</v>
      </c>
      <c r="F6" s="166">
        <v>2024</v>
      </c>
      <c r="G6" s="166" t="s">
        <v>1071</v>
      </c>
      <c r="H6" s="166" t="s">
        <v>1071</v>
      </c>
      <c r="I6" s="166" t="s">
        <v>35</v>
      </c>
      <c r="J6" s="166" t="s">
        <v>35</v>
      </c>
      <c r="K6" s="172">
        <v>45296</v>
      </c>
      <c r="L6" s="166" t="s">
        <v>21</v>
      </c>
      <c r="M6" s="198" t="s">
        <v>1092</v>
      </c>
      <c r="N6" s="167">
        <v>38184394</v>
      </c>
      <c r="O6" s="169"/>
    </row>
    <row r="7" spans="1:16" ht="42" hidden="1">
      <c r="A7" s="318" t="s">
        <v>1306</v>
      </c>
      <c r="B7" s="166" t="s">
        <v>16</v>
      </c>
      <c r="C7" s="169" t="s">
        <v>64</v>
      </c>
      <c r="D7" s="173" t="s">
        <v>1093</v>
      </c>
      <c r="E7" s="171" t="s">
        <v>1094</v>
      </c>
      <c r="F7" s="166">
        <v>2024</v>
      </c>
      <c r="G7" s="166" t="s">
        <v>1096</v>
      </c>
      <c r="H7" s="166" t="s">
        <v>1096</v>
      </c>
      <c r="I7" s="166" t="s">
        <v>35</v>
      </c>
      <c r="J7" s="166" t="s">
        <v>35</v>
      </c>
      <c r="K7" s="172">
        <v>45317</v>
      </c>
      <c r="L7" s="166" t="s">
        <v>21</v>
      </c>
      <c r="M7" s="198" t="s">
        <v>1307</v>
      </c>
      <c r="N7" s="167">
        <v>38280828</v>
      </c>
      <c r="O7" s="169"/>
    </row>
    <row r="8" spans="1:16" s="171" customFormat="1" ht="57" hidden="1" customHeight="1">
      <c r="A8" s="318" t="s">
        <v>1306</v>
      </c>
      <c r="B8" s="191" t="s">
        <v>16</v>
      </c>
      <c r="C8" s="170" t="s">
        <v>64</v>
      </c>
      <c r="D8" s="173" t="s">
        <v>1098</v>
      </c>
      <c r="E8" s="171" t="s">
        <v>1099</v>
      </c>
      <c r="F8" s="166">
        <v>2024</v>
      </c>
      <c r="G8" s="171" t="s">
        <v>73</v>
      </c>
      <c r="H8" s="171" t="s">
        <v>73</v>
      </c>
      <c r="I8" s="166" t="s">
        <v>35</v>
      </c>
      <c r="J8" s="166" t="s">
        <v>35</v>
      </c>
      <c r="K8" s="178">
        <v>45351</v>
      </c>
      <c r="L8" s="166" t="s">
        <v>21</v>
      </c>
      <c r="M8" s="182" t="s">
        <v>748</v>
      </c>
      <c r="N8" s="171">
        <v>38429152</v>
      </c>
      <c r="O8" s="170"/>
    </row>
    <row r="9" spans="1:16" ht="132.75" hidden="1" customHeight="1">
      <c r="A9" s="318" t="s">
        <v>1306</v>
      </c>
      <c r="B9" s="166" t="s">
        <v>16</v>
      </c>
      <c r="C9" s="169" t="s">
        <v>64</v>
      </c>
      <c r="D9" s="171" t="s">
        <v>1100</v>
      </c>
      <c r="E9" s="171" t="s">
        <v>1101</v>
      </c>
      <c r="F9" s="166">
        <v>2024</v>
      </c>
      <c r="I9" s="166" t="s">
        <v>35</v>
      </c>
      <c r="J9" s="166" t="s">
        <v>35</v>
      </c>
      <c r="K9" s="172">
        <v>45552</v>
      </c>
      <c r="L9" s="166" t="s">
        <v>21</v>
      </c>
      <c r="M9" s="171" t="s">
        <v>1102</v>
      </c>
      <c r="N9" s="167">
        <v>39095277</v>
      </c>
      <c r="O9" s="166" t="s">
        <v>1103</v>
      </c>
    </row>
    <row r="10" spans="1:16" ht="45" hidden="1" customHeight="1">
      <c r="A10" s="318" t="s">
        <v>1306</v>
      </c>
      <c r="B10" s="192" t="s">
        <v>16</v>
      </c>
      <c r="C10" s="170" t="s">
        <v>1104</v>
      </c>
      <c r="D10" s="181" t="s">
        <v>1105</v>
      </c>
      <c r="E10" s="171" t="s">
        <v>1106</v>
      </c>
      <c r="F10" s="166">
        <v>2024</v>
      </c>
      <c r="G10" s="171">
        <v>357</v>
      </c>
      <c r="H10" s="171" t="s">
        <v>73</v>
      </c>
      <c r="I10" s="166" t="s">
        <v>35</v>
      </c>
      <c r="J10" s="166" t="s">
        <v>35</v>
      </c>
      <c r="K10" s="172">
        <v>45536</v>
      </c>
      <c r="L10" s="166" t="s">
        <v>21</v>
      </c>
      <c r="M10" s="171" t="s">
        <v>1107</v>
      </c>
      <c r="N10" s="167">
        <v>39180777</v>
      </c>
      <c r="O10" s="166" t="s">
        <v>1108</v>
      </c>
    </row>
    <row r="11" spans="1:16" ht="34.5" hidden="1" customHeight="1">
      <c r="A11" s="319" t="s">
        <v>1308</v>
      </c>
      <c r="B11" s="173" t="s">
        <v>16</v>
      </c>
      <c r="C11" s="258" t="s">
        <v>17</v>
      </c>
      <c r="D11" s="173" t="s">
        <v>18</v>
      </c>
      <c r="E11" s="173" t="s">
        <v>19</v>
      </c>
      <c r="F11" s="173">
        <v>2023</v>
      </c>
      <c r="G11" s="173"/>
      <c r="H11" s="173"/>
      <c r="I11" s="173" t="s">
        <v>20</v>
      </c>
      <c r="J11" s="173" t="s">
        <v>20</v>
      </c>
      <c r="K11" s="259">
        <v>44931</v>
      </c>
      <c r="L11" s="173" t="s">
        <v>21</v>
      </c>
      <c r="M11" s="16" t="s">
        <v>22</v>
      </c>
      <c r="N11" s="122">
        <v>36602930</v>
      </c>
      <c r="O11" s="21" t="s">
        <v>23</v>
      </c>
      <c r="P11" s="16"/>
    </row>
    <row r="12" spans="1:16" ht="47.25" hidden="1" customHeight="1">
      <c r="A12" s="319" t="s">
        <v>1308</v>
      </c>
      <c r="B12" s="173" t="s">
        <v>16</v>
      </c>
      <c r="C12" s="258" t="s">
        <v>17</v>
      </c>
      <c r="D12" s="173" t="s">
        <v>24</v>
      </c>
      <c r="E12" s="173" t="s">
        <v>25</v>
      </c>
      <c r="F12" s="173">
        <v>2023</v>
      </c>
      <c r="G12" s="260"/>
      <c r="H12" s="260"/>
      <c r="I12" s="173" t="s">
        <v>20</v>
      </c>
      <c r="J12" s="173" t="s">
        <v>20</v>
      </c>
      <c r="K12" s="259">
        <v>44939</v>
      </c>
      <c r="L12" s="173" t="s">
        <v>21</v>
      </c>
      <c r="M12" s="16" t="s">
        <v>26</v>
      </c>
      <c r="N12" s="122">
        <v>36634005</v>
      </c>
      <c r="O12" s="21" t="s">
        <v>27</v>
      </c>
      <c r="P12" s="16"/>
    </row>
    <row r="13" spans="1:16" ht="15" hidden="1" customHeight="1">
      <c r="A13" s="319" t="s">
        <v>1308</v>
      </c>
      <c r="B13" s="173" t="s">
        <v>16</v>
      </c>
      <c r="C13" s="258" t="s">
        <v>17</v>
      </c>
      <c r="D13" s="173" t="s">
        <v>28</v>
      </c>
      <c r="E13" s="173" t="s">
        <v>29</v>
      </c>
      <c r="F13" s="173">
        <v>2023</v>
      </c>
      <c r="G13" s="173"/>
      <c r="H13" s="173"/>
      <c r="I13" s="173" t="s">
        <v>20</v>
      </c>
      <c r="J13" s="173" t="s">
        <v>20</v>
      </c>
      <c r="K13" s="259">
        <v>44939</v>
      </c>
      <c r="L13" s="173" t="s">
        <v>21</v>
      </c>
      <c r="M13" s="16" t="s">
        <v>30</v>
      </c>
      <c r="N13" s="122">
        <v>36634013</v>
      </c>
      <c r="O13" s="21" t="s">
        <v>31</v>
      </c>
      <c r="P13" s="16"/>
    </row>
    <row r="14" spans="1:16" ht="15" hidden="1" customHeight="1">
      <c r="A14" s="319" t="s">
        <v>1308</v>
      </c>
      <c r="B14" s="173" t="s">
        <v>16</v>
      </c>
      <c r="C14" s="258" t="s">
        <v>32</v>
      </c>
      <c r="D14" s="173" t="s">
        <v>33</v>
      </c>
      <c r="E14" s="173" t="s">
        <v>34</v>
      </c>
      <c r="F14" s="173">
        <v>2023</v>
      </c>
      <c r="G14" s="260"/>
      <c r="H14" s="260"/>
      <c r="I14" s="173" t="s">
        <v>35</v>
      </c>
      <c r="J14" s="173" t="s">
        <v>35</v>
      </c>
      <c r="K14" s="259">
        <v>44986</v>
      </c>
      <c r="L14" s="173" t="s">
        <v>21</v>
      </c>
      <c r="M14" s="16" t="s">
        <v>36</v>
      </c>
      <c r="N14" s="122">
        <v>36690543</v>
      </c>
      <c r="O14" s="21" t="s">
        <v>37</v>
      </c>
      <c r="P14" s="16"/>
    </row>
    <row r="15" spans="1:16" ht="15" hidden="1" customHeight="1">
      <c r="A15" s="319" t="s">
        <v>1308</v>
      </c>
      <c r="B15" s="173" t="s">
        <v>16</v>
      </c>
      <c r="C15" s="258" t="s">
        <v>17</v>
      </c>
      <c r="D15" s="173" t="s">
        <v>38</v>
      </c>
      <c r="E15" s="173" t="s">
        <v>39</v>
      </c>
      <c r="F15" s="173">
        <v>2023</v>
      </c>
      <c r="G15" s="260"/>
      <c r="H15" s="260"/>
      <c r="I15" s="173" t="s">
        <v>20</v>
      </c>
      <c r="J15" s="173" t="s">
        <v>20</v>
      </c>
      <c r="K15" s="259">
        <v>44973</v>
      </c>
      <c r="L15" s="173" t="s">
        <v>21</v>
      </c>
      <c r="M15" s="16" t="s">
        <v>40</v>
      </c>
      <c r="N15" s="122">
        <v>36795677</v>
      </c>
      <c r="O15" s="21" t="s">
        <v>41</v>
      </c>
      <c r="P15" s="16"/>
    </row>
    <row r="16" spans="1:16" ht="15" hidden="1" customHeight="1">
      <c r="A16" s="319" t="s">
        <v>1308</v>
      </c>
      <c r="B16" s="173" t="s">
        <v>16</v>
      </c>
      <c r="C16" s="258" t="s">
        <v>42</v>
      </c>
      <c r="D16" s="173" t="s">
        <v>43</v>
      </c>
      <c r="E16" s="173" t="s">
        <v>44</v>
      </c>
      <c r="F16" s="173">
        <v>2023</v>
      </c>
      <c r="G16" s="260"/>
      <c r="H16" s="260"/>
      <c r="I16" s="173" t="s">
        <v>45</v>
      </c>
      <c r="J16" s="173" t="s">
        <v>45</v>
      </c>
      <c r="K16" s="259">
        <v>44951</v>
      </c>
      <c r="L16" s="173" t="s">
        <v>21</v>
      </c>
      <c r="M16" s="16" t="s">
        <v>46</v>
      </c>
      <c r="N16" s="122">
        <v>36775756</v>
      </c>
      <c r="O16" s="21" t="s">
        <v>47</v>
      </c>
      <c r="P16" s="16"/>
    </row>
    <row r="17" spans="1:16" ht="15" hidden="1" customHeight="1">
      <c r="A17" s="319" t="s">
        <v>1308</v>
      </c>
      <c r="B17" s="173" t="s">
        <v>16</v>
      </c>
      <c r="C17" s="258" t="s">
        <v>42</v>
      </c>
      <c r="D17" s="173" t="s">
        <v>48</v>
      </c>
      <c r="E17" s="173" t="s">
        <v>49</v>
      </c>
      <c r="F17" s="173">
        <v>2023</v>
      </c>
      <c r="G17" s="260"/>
      <c r="H17" s="260"/>
      <c r="I17" s="173" t="s">
        <v>45</v>
      </c>
      <c r="J17" s="173" t="s">
        <v>45</v>
      </c>
      <c r="K17" s="259">
        <v>44991</v>
      </c>
      <c r="L17" s="173" t="s">
        <v>21</v>
      </c>
      <c r="M17" s="16" t="s">
        <v>50</v>
      </c>
      <c r="N17" s="122">
        <v>36878415</v>
      </c>
      <c r="O17" s="21" t="s">
        <v>51</v>
      </c>
      <c r="P17" s="16"/>
    </row>
    <row r="18" spans="1:16" ht="15" hidden="1" customHeight="1">
      <c r="A18" s="319" t="s">
        <v>1308</v>
      </c>
      <c r="B18" s="173" t="s">
        <v>16</v>
      </c>
      <c r="C18" s="258" t="s">
        <v>52</v>
      </c>
      <c r="D18" s="173" t="s">
        <v>53</v>
      </c>
      <c r="E18" s="173" t="s">
        <v>54</v>
      </c>
      <c r="F18" s="173">
        <v>2023</v>
      </c>
      <c r="G18" s="260"/>
      <c r="H18" s="260"/>
      <c r="I18" s="173" t="s">
        <v>45</v>
      </c>
      <c r="J18" s="173" t="s">
        <v>45</v>
      </c>
      <c r="K18" s="259">
        <v>44970</v>
      </c>
      <c r="L18" s="173" t="s">
        <v>21</v>
      </c>
      <c r="M18" s="16" t="s">
        <v>55</v>
      </c>
      <c r="N18" s="122">
        <v>36816768</v>
      </c>
      <c r="O18" s="21" t="s">
        <v>56</v>
      </c>
      <c r="P18" s="16"/>
    </row>
    <row r="19" spans="1:16" ht="15" hidden="1" customHeight="1">
      <c r="A19" s="319" t="s">
        <v>1308</v>
      </c>
      <c r="B19" s="173" t="s">
        <v>16</v>
      </c>
      <c r="C19" s="258" t="s">
        <v>57</v>
      </c>
      <c r="D19" s="173" t="s">
        <v>58</v>
      </c>
      <c r="E19" s="173" t="s">
        <v>59</v>
      </c>
      <c r="F19" s="173">
        <v>2023</v>
      </c>
      <c r="G19" s="260"/>
      <c r="H19" s="260"/>
      <c r="I19" s="173" t="s">
        <v>45</v>
      </c>
      <c r="J19" s="173" t="s">
        <v>45</v>
      </c>
      <c r="K19" s="259">
        <v>44993</v>
      </c>
      <c r="L19" s="173" t="s">
        <v>21</v>
      </c>
      <c r="M19" s="16" t="s">
        <v>60</v>
      </c>
      <c r="N19" s="122">
        <v>36884385</v>
      </c>
      <c r="O19" s="123" t="s">
        <v>61</v>
      </c>
      <c r="P19" s="16"/>
    </row>
    <row r="20" spans="1:16" ht="15" hidden="1" customHeight="1">
      <c r="A20" s="319" t="s">
        <v>1308</v>
      </c>
      <c r="B20" s="173" t="s">
        <v>16</v>
      </c>
      <c r="C20" s="258" t="s">
        <v>52</v>
      </c>
      <c r="D20" s="173" t="s">
        <v>62</v>
      </c>
      <c r="E20" s="173" t="s">
        <v>63</v>
      </c>
      <c r="F20" s="173">
        <v>2023</v>
      </c>
      <c r="G20" s="260"/>
      <c r="H20" s="260"/>
      <c r="I20" s="173" t="s">
        <v>45</v>
      </c>
      <c r="J20" s="173" t="s">
        <v>45</v>
      </c>
      <c r="K20" s="261">
        <v>44971</v>
      </c>
      <c r="L20" s="173" t="s">
        <v>21</v>
      </c>
      <c r="M20" s="16" t="s">
        <v>55</v>
      </c>
      <c r="N20" s="122">
        <v>36816768</v>
      </c>
      <c r="O20" s="21" t="s">
        <v>56</v>
      </c>
      <c r="P20" s="16"/>
    </row>
    <row r="21" spans="1:16" ht="15" hidden="1" customHeight="1">
      <c r="A21" s="319" t="s">
        <v>1308</v>
      </c>
      <c r="B21" s="173" t="s">
        <v>16</v>
      </c>
      <c r="C21" s="258" t="s">
        <v>64</v>
      </c>
      <c r="D21" s="173" t="s">
        <v>65</v>
      </c>
      <c r="E21" s="173" t="s">
        <v>66</v>
      </c>
      <c r="F21" s="173">
        <v>2023</v>
      </c>
      <c r="G21" s="260"/>
      <c r="H21" s="260"/>
      <c r="I21" s="173" t="s">
        <v>45</v>
      </c>
      <c r="J21" s="173" t="s">
        <v>45</v>
      </c>
      <c r="K21" s="259">
        <v>45022</v>
      </c>
      <c r="L21" s="173" t="s">
        <v>21</v>
      </c>
      <c r="M21" s="16" t="s">
        <v>67</v>
      </c>
      <c r="N21" s="122">
        <v>36907734</v>
      </c>
      <c r="O21" s="21" t="s">
        <v>68</v>
      </c>
      <c r="P21" s="16"/>
    </row>
    <row r="22" spans="1:16" ht="15" hidden="1" customHeight="1">
      <c r="A22" s="319" t="s">
        <v>1308</v>
      </c>
      <c r="B22" s="173" t="s">
        <v>16</v>
      </c>
      <c r="C22" s="258" t="s">
        <v>69</v>
      </c>
      <c r="D22" s="173" t="s">
        <v>70</v>
      </c>
      <c r="E22" s="173" t="s">
        <v>71</v>
      </c>
      <c r="F22" s="173">
        <v>2023</v>
      </c>
      <c r="G22" s="260"/>
      <c r="H22" s="260"/>
      <c r="I22" s="173" t="s">
        <v>72</v>
      </c>
      <c r="J22" s="173" t="s">
        <v>72</v>
      </c>
      <c r="K22" s="259" t="s">
        <v>73</v>
      </c>
      <c r="L22" s="173" t="s">
        <v>21</v>
      </c>
      <c r="M22" s="16" t="s">
        <v>74</v>
      </c>
      <c r="N22" s="122" t="s">
        <v>75</v>
      </c>
      <c r="O22" s="122" t="s">
        <v>75</v>
      </c>
      <c r="P22" s="16"/>
    </row>
    <row r="23" spans="1:16" ht="15" hidden="1" customHeight="1">
      <c r="A23" s="319" t="s">
        <v>1308</v>
      </c>
      <c r="B23" s="173" t="s">
        <v>16</v>
      </c>
      <c r="C23" s="258" t="s">
        <v>17</v>
      </c>
      <c r="D23" s="173" t="s">
        <v>76</v>
      </c>
      <c r="E23" s="173" t="s">
        <v>77</v>
      </c>
      <c r="F23" s="173">
        <v>2023</v>
      </c>
      <c r="G23" s="260"/>
      <c r="H23" s="260"/>
      <c r="I23" s="173" t="s">
        <v>20</v>
      </c>
      <c r="J23" s="173" t="s">
        <v>20</v>
      </c>
      <c r="K23" s="259">
        <v>45036</v>
      </c>
      <c r="L23" s="173" t="s">
        <v>21</v>
      </c>
      <c r="M23" s="16" t="s">
        <v>78</v>
      </c>
      <c r="N23" s="122">
        <v>37079512</v>
      </c>
      <c r="O23" s="21" t="s">
        <v>79</v>
      </c>
      <c r="P23" s="16"/>
    </row>
    <row r="24" spans="1:16" ht="15" hidden="1" customHeight="1">
      <c r="A24" s="319" t="s">
        <v>1308</v>
      </c>
      <c r="B24" s="173" t="s">
        <v>16</v>
      </c>
      <c r="C24" s="258" t="s">
        <v>80</v>
      </c>
      <c r="D24" s="173" t="s">
        <v>81</v>
      </c>
      <c r="E24" s="173" t="s">
        <v>82</v>
      </c>
      <c r="F24" s="173">
        <v>2023</v>
      </c>
      <c r="G24" s="262"/>
      <c r="H24" s="260"/>
      <c r="I24" s="173" t="s">
        <v>35</v>
      </c>
      <c r="J24" s="173" t="s">
        <v>35</v>
      </c>
      <c r="K24" s="259">
        <v>45106</v>
      </c>
      <c r="L24" s="173" t="s">
        <v>21</v>
      </c>
      <c r="M24" s="16" t="s">
        <v>83</v>
      </c>
      <c r="N24" s="122">
        <v>37386826</v>
      </c>
      <c r="O24" s="21" t="s">
        <v>84</v>
      </c>
      <c r="P24" s="390" t="s">
        <v>85</v>
      </c>
    </row>
    <row r="25" spans="1:16" ht="15" hidden="1" customHeight="1">
      <c r="A25" s="319" t="s">
        <v>1308</v>
      </c>
      <c r="B25" s="173" t="s">
        <v>16</v>
      </c>
      <c r="C25" s="258" t="s">
        <v>17</v>
      </c>
      <c r="D25" s="173" t="s">
        <v>86</v>
      </c>
      <c r="E25" s="173" t="s">
        <v>87</v>
      </c>
      <c r="F25" s="173">
        <v>2023</v>
      </c>
      <c r="G25" s="260" t="s">
        <v>88</v>
      </c>
      <c r="H25" s="260" t="s">
        <v>89</v>
      </c>
      <c r="I25" s="173" t="s">
        <v>20</v>
      </c>
      <c r="J25" s="173" t="s">
        <v>20</v>
      </c>
      <c r="K25" s="259">
        <v>45051</v>
      </c>
      <c r="L25" s="173" t="s">
        <v>21</v>
      </c>
      <c r="M25" s="16" t="s">
        <v>90</v>
      </c>
      <c r="N25" s="122">
        <v>37167154</v>
      </c>
      <c r="O25" s="21" t="s">
        <v>91</v>
      </c>
      <c r="P25" s="16"/>
    </row>
    <row r="26" spans="1:16" ht="15" hidden="1" customHeight="1">
      <c r="A26" s="319" t="s">
        <v>1308</v>
      </c>
      <c r="B26" s="173" t="s">
        <v>16</v>
      </c>
      <c r="C26" s="258" t="s">
        <v>92</v>
      </c>
      <c r="D26" s="173" t="s">
        <v>93</v>
      </c>
      <c r="E26" s="173" t="s">
        <v>94</v>
      </c>
      <c r="F26" s="173">
        <v>2023</v>
      </c>
      <c r="G26" s="260"/>
      <c r="H26" s="260"/>
      <c r="I26" s="173" t="s">
        <v>72</v>
      </c>
      <c r="J26" s="173" t="s">
        <v>72</v>
      </c>
      <c r="K26" s="259">
        <v>45085</v>
      </c>
      <c r="L26" s="173" t="s">
        <v>21</v>
      </c>
      <c r="M26" s="16" t="s">
        <v>95</v>
      </c>
      <c r="N26" s="122">
        <v>37362397</v>
      </c>
      <c r="O26" s="21" t="s">
        <v>96</v>
      </c>
      <c r="P26" s="16"/>
    </row>
    <row r="27" spans="1:16" ht="15" hidden="1" customHeight="1">
      <c r="A27" s="319" t="s">
        <v>1308</v>
      </c>
      <c r="B27" s="173" t="s">
        <v>16</v>
      </c>
      <c r="C27" s="258" t="s">
        <v>69</v>
      </c>
      <c r="D27" s="173" t="s">
        <v>97</v>
      </c>
      <c r="E27" s="173" t="s">
        <v>98</v>
      </c>
      <c r="F27" s="173">
        <v>2023</v>
      </c>
      <c r="G27" s="260"/>
      <c r="H27" s="260"/>
      <c r="I27" s="173" t="s">
        <v>72</v>
      </c>
      <c r="J27" s="173" t="s">
        <v>72</v>
      </c>
      <c r="K27" s="259">
        <v>45078</v>
      </c>
      <c r="L27" s="173" t="s">
        <v>21</v>
      </c>
      <c r="M27" s="33" t="s">
        <v>99</v>
      </c>
      <c r="N27" s="122" t="s">
        <v>75</v>
      </c>
      <c r="O27" s="122" t="s">
        <v>75</v>
      </c>
      <c r="P27" s="16"/>
    </row>
    <row r="28" spans="1:16" ht="15" hidden="1" customHeight="1">
      <c r="A28" s="319" t="s">
        <v>1308</v>
      </c>
      <c r="B28" s="173" t="s">
        <v>16</v>
      </c>
      <c r="C28" s="258" t="s">
        <v>69</v>
      </c>
      <c r="D28" s="173" t="s">
        <v>100</v>
      </c>
      <c r="E28" s="173" t="s">
        <v>101</v>
      </c>
      <c r="F28" s="173">
        <v>2023</v>
      </c>
      <c r="G28" s="260"/>
      <c r="H28" s="260"/>
      <c r="I28" s="173" t="s">
        <v>72</v>
      </c>
      <c r="J28" s="173" t="s">
        <v>72</v>
      </c>
      <c r="K28" s="259">
        <v>45131</v>
      </c>
      <c r="L28" s="173" t="s">
        <v>21</v>
      </c>
      <c r="M28" s="16" t="s">
        <v>102</v>
      </c>
      <c r="N28" s="122" t="s">
        <v>75</v>
      </c>
      <c r="O28" s="122" t="s">
        <v>75</v>
      </c>
      <c r="P28" s="16"/>
    </row>
    <row r="29" spans="1:16" ht="15" hidden="1" customHeight="1">
      <c r="A29" s="319" t="s">
        <v>1308</v>
      </c>
      <c r="B29" s="173" t="s">
        <v>16</v>
      </c>
      <c r="C29" s="258" t="s">
        <v>103</v>
      </c>
      <c r="D29" s="173" t="s">
        <v>104</v>
      </c>
      <c r="E29" s="173" t="s">
        <v>105</v>
      </c>
      <c r="F29" s="173">
        <v>2023</v>
      </c>
      <c r="G29" s="260"/>
      <c r="H29" s="260"/>
      <c r="I29" s="173" t="s">
        <v>35</v>
      </c>
      <c r="J29" s="173" t="s">
        <v>35</v>
      </c>
      <c r="K29" s="259">
        <v>45141</v>
      </c>
      <c r="L29" s="173" t="s">
        <v>21</v>
      </c>
      <c r="M29" s="16" t="s">
        <v>106</v>
      </c>
      <c r="N29" s="122">
        <v>37590982</v>
      </c>
      <c r="O29" s="21" t="s">
        <v>107</v>
      </c>
      <c r="P29" s="391" t="s">
        <v>108</v>
      </c>
    </row>
    <row r="30" spans="1:16" ht="15" hidden="1" customHeight="1">
      <c r="A30" s="319" t="s">
        <v>1308</v>
      </c>
      <c r="B30" s="173" t="s">
        <v>16</v>
      </c>
      <c r="C30" s="258" t="s">
        <v>109</v>
      </c>
      <c r="D30" s="173" t="s">
        <v>110</v>
      </c>
      <c r="E30" s="173" t="s">
        <v>111</v>
      </c>
      <c r="F30" s="173">
        <v>2023</v>
      </c>
      <c r="G30" s="260"/>
      <c r="H30" s="260"/>
      <c r="I30" s="173" t="s">
        <v>35</v>
      </c>
      <c r="J30" s="173" t="s">
        <v>35</v>
      </c>
      <c r="K30" s="259">
        <v>45125</v>
      </c>
      <c r="L30" s="173" t="s">
        <v>21</v>
      </c>
      <c r="M30" s="16" t="s">
        <v>112</v>
      </c>
      <c r="N30" s="122">
        <v>37558552</v>
      </c>
      <c r="O30" s="21" t="s">
        <v>113</v>
      </c>
      <c r="P30" s="391" t="s">
        <v>114</v>
      </c>
    </row>
    <row r="31" spans="1:16" ht="15" hidden="1" customHeight="1">
      <c r="A31" s="319" t="s">
        <v>1308</v>
      </c>
      <c r="B31" s="173" t="s">
        <v>16</v>
      </c>
      <c r="C31" s="258" t="s">
        <v>115</v>
      </c>
      <c r="D31" s="173" t="s">
        <v>1309</v>
      </c>
      <c r="E31" s="173" t="s">
        <v>117</v>
      </c>
      <c r="F31" s="173">
        <v>2023</v>
      </c>
      <c r="G31" s="260"/>
      <c r="H31" s="260"/>
      <c r="I31" s="173" t="s">
        <v>35</v>
      </c>
      <c r="J31" s="173" t="s">
        <v>35</v>
      </c>
      <c r="K31" s="259">
        <v>45139</v>
      </c>
      <c r="L31" s="173" t="s">
        <v>21</v>
      </c>
      <c r="M31" s="16" t="s">
        <v>118</v>
      </c>
      <c r="N31" s="122">
        <v>37571833</v>
      </c>
      <c r="O31" s="21" t="s">
        <v>119</v>
      </c>
      <c r="P31" s="391" t="s">
        <v>120</v>
      </c>
    </row>
    <row r="32" spans="1:16" ht="15" hidden="1" customHeight="1">
      <c r="A32" s="319" t="s">
        <v>1308</v>
      </c>
      <c r="B32" s="173" t="s">
        <v>16</v>
      </c>
      <c r="C32" s="258" t="s">
        <v>17</v>
      </c>
      <c r="D32" s="173" t="s">
        <v>121</v>
      </c>
      <c r="E32" s="173" t="s">
        <v>122</v>
      </c>
      <c r="F32" s="173">
        <v>2023</v>
      </c>
      <c r="G32" s="173"/>
      <c r="H32" s="173"/>
      <c r="I32" s="173" t="s">
        <v>20</v>
      </c>
      <c r="J32" s="173" t="s">
        <v>20</v>
      </c>
      <c r="K32" s="259">
        <v>45162</v>
      </c>
      <c r="L32" s="173" t="s">
        <v>21</v>
      </c>
      <c r="M32" s="16" t="s">
        <v>123</v>
      </c>
      <c r="N32" s="122">
        <v>37616185</v>
      </c>
      <c r="O32" s="21" t="s">
        <v>124</v>
      </c>
      <c r="P32" s="26" t="s">
        <v>125</v>
      </c>
    </row>
    <row r="33" spans="1:16" ht="15" hidden="1" customHeight="1">
      <c r="A33" s="319" t="s">
        <v>1308</v>
      </c>
      <c r="B33" s="173" t="s">
        <v>16</v>
      </c>
      <c r="C33" s="258" t="s">
        <v>126</v>
      </c>
      <c r="D33" s="173" t="s">
        <v>127</v>
      </c>
      <c r="E33" s="173" t="s">
        <v>128</v>
      </c>
      <c r="F33" s="173">
        <v>2023</v>
      </c>
      <c r="G33" s="260"/>
      <c r="H33" s="260"/>
      <c r="I33" s="173" t="s">
        <v>35</v>
      </c>
      <c r="J33" s="173" t="s">
        <v>35</v>
      </c>
      <c r="K33" s="259">
        <v>45156</v>
      </c>
      <c r="L33" s="173" t="s">
        <v>21</v>
      </c>
      <c r="M33" s="16" t="s">
        <v>129</v>
      </c>
      <c r="N33" s="48">
        <v>32933839</v>
      </c>
      <c r="O33" s="124" t="s">
        <v>130</v>
      </c>
      <c r="P33" s="16"/>
    </row>
    <row r="34" spans="1:16" ht="15" hidden="1" customHeight="1">
      <c r="A34" s="319" t="s">
        <v>1308</v>
      </c>
      <c r="B34" s="173" t="s">
        <v>16</v>
      </c>
      <c r="C34" s="258" t="s">
        <v>69</v>
      </c>
      <c r="D34" s="173" t="s">
        <v>131</v>
      </c>
      <c r="E34" s="173" t="s">
        <v>132</v>
      </c>
      <c r="F34" s="173">
        <v>2023</v>
      </c>
      <c r="G34" s="260"/>
      <c r="H34" s="260"/>
      <c r="I34" s="173" t="s">
        <v>72</v>
      </c>
      <c r="J34" s="173" t="s">
        <v>72</v>
      </c>
      <c r="K34" s="259">
        <v>45168</v>
      </c>
      <c r="L34" s="173" t="s">
        <v>21</v>
      </c>
      <c r="M34" s="16" t="s">
        <v>133</v>
      </c>
      <c r="N34" s="122" t="s">
        <v>75</v>
      </c>
      <c r="O34" s="122" t="s">
        <v>75</v>
      </c>
      <c r="P34" s="16"/>
    </row>
    <row r="35" spans="1:16" ht="15" hidden="1" customHeight="1">
      <c r="A35" s="319" t="s">
        <v>1308</v>
      </c>
      <c r="B35" s="173" t="s">
        <v>16</v>
      </c>
      <c r="C35" s="258" t="s">
        <v>69</v>
      </c>
      <c r="D35" s="173" t="s">
        <v>134</v>
      </c>
      <c r="E35" s="173" t="s">
        <v>135</v>
      </c>
      <c r="F35" s="173">
        <v>2023</v>
      </c>
      <c r="G35" s="260"/>
      <c r="H35" s="260"/>
      <c r="I35" s="173" t="s">
        <v>72</v>
      </c>
      <c r="J35" s="173" t="s">
        <v>72</v>
      </c>
      <c r="K35" s="259">
        <v>45197</v>
      </c>
      <c r="L35" s="173" t="s">
        <v>21</v>
      </c>
      <c r="M35" s="47" t="s">
        <v>136</v>
      </c>
      <c r="N35" s="122" t="s">
        <v>75</v>
      </c>
      <c r="O35" s="122" t="s">
        <v>75</v>
      </c>
      <c r="P35" s="16"/>
    </row>
    <row r="36" spans="1:16" ht="15" hidden="1" customHeight="1">
      <c r="A36" s="319" t="s">
        <v>1308</v>
      </c>
      <c r="B36" s="173" t="s">
        <v>16</v>
      </c>
      <c r="C36" s="258" t="s">
        <v>69</v>
      </c>
      <c r="D36" s="173" t="s">
        <v>137</v>
      </c>
      <c r="E36" s="173" t="s">
        <v>138</v>
      </c>
      <c r="F36" s="173">
        <v>2023</v>
      </c>
      <c r="G36" s="260"/>
      <c r="H36" s="260"/>
      <c r="I36" s="173" t="s">
        <v>72</v>
      </c>
      <c r="J36" s="173" t="s">
        <v>72</v>
      </c>
      <c r="K36" s="259">
        <v>45197</v>
      </c>
      <c r="L36" s="173" t="s">
        <v>21</v>
      </c>
      <c r="M36" s="16" t="s">
        <v>139</v>
      </c>
      <c r="N36" s="122" t="s">
        <v>75</v>
      </c>
      <c r="O36" s="122" t="s">
        <v>75</v>
      </c>
      <c r="P36" s="16"/>
    </row>
    <row r="37" spans="1:16" ht="15" hidden="1" customHeight="1">
      <c r="A37" s="319" t="s">
        <v>1308</v>
      </c>
      <c r="B37" s="173" t="s">
        <v>16</v>
      </c>
      <c r="C37" s="258" t="s">
        <v>17</v>
      </c>
      <c r="D37" s="173" t="s">
        <v>140</v>
      </c>
      <c r="E37" s="173" t="s">
        <v>141</v>
      </c>
      <c r="F37" s="173">
        <v>2023</v>
      </c>
      <c r="G37" s="260"/>
      <c r="H37" s="260"/>
      <c r="I37" s="173" t="s">
        <v>20</v>
      </c>
      <c r="J37" s="173" t="s">
        <v>20</v>
      </c>
      <c r="K37" s="259">
        <v>45197</v>
      </c>
      <c r="L37" s="173" t="s">
        <v>21</v>
      </c>
      <c r="M37" s="16" t="s">
        <v>142</v>
      </c>
      <c r="N37" s="122">
        <v>37768879</v>
      </c>
      <c r="O37" s="21" t="s">
        <v>143</v>
      </c>
      <c r="P37" s="16"/>
    </row>
    <row r="38" spans="1:16" ht="15" hidden="1" customHeight="1">
      <c r="A38" s="319" t="s">
        <v>1308</v>
      </c>
      <c r="B38" s="173" t="s">
        <v>16</v>
      </c>
      <c r="C38" s="258" t="s">
        <v>69</v>
      </c>
      <c r="D38" s="173" t="s">
        <v>144</v>
      </c>
      <c r="E38" s="173" t="s">
        <v>145</v>
      </c>
      <c r="F38" s="173">
        <v>2023</v>
      </c>
      <c r="G38" s="260"/>
      <c r="H38" s="260"/>
      <c r="I38" s="173" t="s">
        <v>72</v>
      </c>
      <c r="J38" s="173" t="s">
        <v>72</v>
      </c>
      <c r="K38" s="259">
        <v>45197</v>
      </c>
      <c r="L38" s="173" t="s">
        <v>21</v>
      </c>
      <c r="M38" s="16" t="s">
        <v>146</v>
      </c>
      <c r="N38" s="122" t="s">
        <v>75</v>
      </c>
      <c r="O38" s="21" t="s">
        <v>75</v>
      </c>
      <c r="P38" s="16"/>
    </row>
    <row r="39" spans="1:16" ht="15" hidden="1" customHeight="1">
      <c r="A39" s="319" t="s">
        <v>1308</v>
      </c>
      <c r="B39" s="173" t="s">
        <v>16</v>
      </c>
      <c r="C39" s="258" t="s">
        <v>17</v>
      </c>
      <c r="D39" s="173" t="s">
        <v>147</v>
      </c>
      <c r="E39" s="173" t="s">
        <v>148</v>
      </c>
      <c r="F39" s="173">
        <v>2023</v>
      </c>
      <c r="G39" s="260"/>
      <c r="H39" s="260"/>
      <c r="I39" s="173" t="s">
        <v>20</v>
      </c>
      <c r="J39" s="173" t="s">
        <v>20</v>
      </c>
      <c r="K39" s="259">
        <v>45197</v>
      </c>
      <c r="L39" s="173" t="s">
        <v>21</v>
      </c>
      <c r="M39" s="16" t="s">
        <v>55</v>
      </c>
      <c r="N39" s="122">
        <v>36816768</v>
      </c>
      <c r="O39" s="21" t="s">
        <v>56</v>
      </c>
      <c r="P39" s="16"/>
    </row>
    <row r="40" spans="1:16" ht="15" hidden="1" customHeight="1">
      <c r="A40" s="319" t="s">
        <v>1308</v>
      </c>
      <c r="B40" s="173" t="s">
        <v>16</v>
      </c>
      <c r="C40" s="258" t="s">
        <v>64</v>
      </c>
      <c r="D40" s="173" t="s">
        <v>1310</v>
      </c>
      <c r="E40" s="173" t="s">
        <v>150</v>
      </c>
      <c r="F40" s="173">
        <v>2023</v>
      </c>
      <c r="G40" s="260"/>
      <c r="H40" s="260"/>
      <c r="I40" s="173" t="s">
        <v>72</v>
      </c>
      <c r="J40" s="173" t="s">
        <v>72</v>
      </c>
      <c r="K40" s="259">
        <v>45219</v>
      </c>
      <c r="L40" s="173" t="s">
        <v>21</v>
      </c>
      <c r="M40" s="16" t="s">
        <v>152</v>
      </c>
      <c r="N40" s="122">
        <v>37866991</v>
      </c>
      <c r="O40" s="21" t="s">
        <v>153</v>
      </c>
      <c r="P40" s="16"/>
    </row>
    <row r="41" spans="1:16" ht="15" hidden="1" customHeight="1">
      <c r="A41" s="319" t="s">
        <v>1308</v>
      </c>
      <c r="B41" s="173" t="s">
        <v>16</v>
      </c>
      <c r="C41" s="258" t="s">
        <v>154</v>
      </c>
      <c r="D41" s="173" t="s">
        <v>155</v>
      </c>
      <c r="E41" s="173" t="s">
        <v>156</v>
      </c>
      <c r="F41" s="173">
        <v>2023</v>
      </c>
      <c r="G41" s="260" t="s">
        <v>158</v>
      </c>
      <c r="H41" s="260"/>
      <c r="I41" s="173" t="s">
        <v>35</v>
      </c>
      <c r="J41" s="173" t="s">
        <v>35</v>
      </c>
      <c r="K41" s="259" t="s">
        <v>73</v>
      </c>
      <c r="L41" s="173" t="s">
        <v>21</v>
      </c>
      <c r="M41" s="16" t="s">
        <v>159</v>
      </c>
      <c r="N41" s="122">
        <v>37926397</v>
      </c>
      <c r="O41" s="21" t="s">
        <v>160</v>
      </c>
      <c r="P41" s="16"/>
    </row>
    <row r="42" spans="1:16" ht="15" hidden="1" customHeight="1">
      <c r="A42" s="320" t="s">
        <v>1308</v>
      </c>
      <c r="B42" s="173" t="s">
        <v>16</v>
      </c>
      <c r="C42" s="258" t="s">
        <v>17</v>
      </c>
      <c r="D42" s="173" t="s">
        <v>161</v>
      </c>
      <c r="E42" s="173" t="s">
        <v>162</v>
      </c>
      <c r="F42" s="173">
        <v>2023</v>
      </c>
      <c r="G42" s="260"/>
      <c r="H42" s="260"/>
      <c r="I42" s="173" t="s">
        <v>20</v>
      </c>
      <c r="J42" s="173" t="s">
        <v>20</v>
      </c>
      <c r="K42" s="259">
        <v>45233</v>
      </c>
      <c r="L42" s="173" t="s">
        <v>21</v>
      </c>
      <c r="M42" s="28" t="s">
        <v>164</v>
      </c>
      <c r="N42" s="125">
        <v>37917561</v>
      </c>
      <c r="O42" s="126" t="s">
        <v>165</v>
      </c>
      <c r="P42" s="16"/>
    </row>
    <row r="43" spans="1:16" ht="15" hidden="1" customHeight="1">
      <c r="A43" s="320" t="s">
        <v>1308</v>
      </c>
      <c r="B43" s="173" t="s">
        <v>16</v>
      </c>
      <c r="C43" s="258" t="s">
        <v>17</v>
      </c>
      <c r="D43" s="173" t="s">
        <v>166</v>
      </c>
      <c r="E43" s="264" t="s">
        <v>167</v>
      </c>
      <c r="F43" s="173">
        <v>2023</v>
      </c>
      <c r="G43" s="260"/>
      <c r="H43" s="260"/>
      <c r="I43" s="173" t="s">
        <v>20</v>
      </c>
      <c r="J43" s="173" t="s">
        <v>20</v>
      </c>
      <c r="K43" s="259">
        <v>45240</v>
      </c>
      <c r="L43" s="265" t="s">
        <v>21</v>
      </c>
      <c r="M43" s="132" t="s">
        <v>168</v>
      </c>
      <c r="N43" s="393">
        <v>37943705</v>
      </c>
      <c r="O43" s="21" t="s">
        <v>169</v>
      </c>
      <c r="P43" s="49"/>
    </row>
    <row r="44" spans="1:16" ht="15" hidden="1" customHeight="1">
      <c r="A44" s="320" t="s">
        <v>1308</v>
      </c>
      <c r="B44" s="173" t="s">
        <v>16</v>
      </c>
      <c r="C44" s="258" t="s">
        <v>17</v>
      </c>
      <c r="D44" s="266" t="s">
        <v>1311</v>
      </c>
      <c r="E44" s="266" t="s">
        <v>171</v>
      </c>
      <c r="F44" s="173">
        <v>2023</v>
      </c>
      <c r="G44" s="260"/>
      <c r="H44" s="260"/>
      <c r="I44" s="173" t="s">
        <v>20</v>
      </c>
      <c r="J44" s="173" t="s">
        <v>20</v>
      </c>
      <c r="K44" s="259">
        <v>45281</v>
      </c>
      <c r="L44" s="265" t="s">
        <v>21</v>
      </c>
      <c r="M44" s="133" t="s">
        <v>172</v>
      </c>
      <c r="N44" s="394">
        <v>38127675</v>
      </c>
      <c r="O44" s="127" t="s">
        <v>173</v>
      </c>
      <c r="P44" s="49"/>
    </row>
    <row r="45" spans="1:16" ht="15" hidden="1" customHeight="1">
      <c r="A45" s="320" t="s">
        <v>1308</v>
      </c>
      <c r="B45" s="173" t="s">
        <v>16</v>
      </c>
      <c r="C45" s="258" t="s">
        <v>64</v>
      </c>
      <c r="D45" s="173" t="s">
        <v>174</v>
      </c>
      <c r="E45" s="266" t="s">
        <v>175</v>
      </c>
      <c r="F45" s="173">
        <v>2023</v>
      </c>
      <c r="G45" s="260"/>
      <c r="H45" s="260"/>
      <c r="I45" s="173" t="s">
        <v>35</v>
      </c>
      <c r="J45" s="173" t="s">
        <v>35</v>
      </c>
      <c r="K45" s="259" t="s">
        <v>73</v>
      </c>
      <c r="L45" s="265" t="s">
        <v>21</v>
      </c>
      <c r="M45" s="16" t="s">
        <v>177</v>
      </c>
      <c r="N45" s="128">
        <v>38143200</v>
      </c>
      <c r="O45" s="146" t="s">
        <v>178</v>
      </c>
      <c r="P45" s="49"/>
    </row>
    <row r="46" spans="1:16" ht="15" hidden="1" customHeight="1">
      <c r="A46" s="320" t="s">
        <v>1308</v>
      </c>
      <c r="B46" s="173" t="s">
        <v>16</v>
      </c>
      <c r="C46" s="258" t="s">
        <v>64</v>
      </c>
      <c r="D46" s="266" t="s">
        <v>179</v>
      </c>
      <c r="E46" s="173" t="s">
        <v>180</v>
      </c>
      <c r="F46" s="173">
        <v>2023</v>
      </c>
      <c r="G46" s="260"/>
      <c r="H46" s="260"/>
      <c r="I46" s="173" t="s">
        <v>35</v>
      </c>
      <c r="J46" s="173" t="s">
        <v>35</v>
      </c>
      <c r="K46" s="259">
        <v>44980</v>
      </c>
      <c r="L46" s="265" t="s">
        <v>21</v>
      </c>
      <c r="M46" s="134" t="s">
        <v>181</v>
      </c>
      <c r="N46" s="129">
        <v>38143201</v>
      </c>
      <c r="O46" s="147" t="s">
        <v>182</v>
      </c>
      <c r="P46" s="143" t="s">
        <v>183</v>
      </c>
    </row>
    <row r="47" spans="1:16" ht="15" hidden="1" customHeight="1">
      <c r="A47" s="320" t="s">
        <v>1308</v>
      </c>
      <c r="B47" s="173" t="s">
        <v>16</v>
      </c>
      <c r="C47" s="258" t="s">
        <v>184</v>
      </c>
      <c r="D47" s="173" t="s">
        <v>185</v>
      </c>
      <c r="E47" s="266" t="s">
        <v>186</v>
      </c>
      <c r="F47" s="173">
        <v>2024</v>
      </c>
      <c r="G47" s="260"/>
      <c r="H47" s="260"/>
      <c r="I47" s="173" t="s">
        <v>72</v>
      </c>
      <c r="J47" s="173" t="s">
        <v>72</v>
      </c>
      <c r="K47" s="259">
        <v>45336</v>
      </c>
      <c r="L47" s="265" t="s">
        <v>21</v>
      </c>
      <c r="M47" s="148" t="s">
        <v>187</v>
      </c>
      <c r="N47" s="128">
        <v>38358336</v>
      </c>
      <c r="O47" s="123" t="s">
        <v>61</v>
      </c>
      <c r="P47" s="49"/>
    </row>
    <row r="48" spans="1:16" ht="15" hidden="1" customHeight="1">
      <c r="A48" s="320" t="s">
        <v>1308</v>
      </c>
      <c r="B48" s="173" t="s">
        <v>16</v>
      </c>
      <c r="C48" s="258" t="s">
        <v>188</v>
      </c>
      <c r="D48" s="266" t="s">
        <v>189</v>
      </c>
      <c r="E48" s="173" t="s">
        <v>190</v>
      </c>
      <c r="F48" s="173">
        <v>2024</v>
      </c>
      <c r="G48" s="260"/>
      <c r="H48" s="260"/>
      <c r="I48" s="173" t="s">
        <v>35</v>
      </c>
      <c r="J48" s="173" t="s">
        <v>35</v>
      </c>
      <c r="K48" s="259">
        <v>45366</v>
      </c>
      <c r="L48" s="265" t="s">
        <v>21</v>
      </c>
      <c r="M48" s="27" t="s">
        <v>191</v>
      </c>
      <c r="N48" s="130">
        <v>39286535</v>
      </c>
      <c r="O48" s="127" t="s">
        <v>192</v>
      </c>
      <c r="P48" s="135" t="s">
        <v>193</v>
      </c>
    </row>
    <row r="49" spans="1:16" ht="15" hidden="1" customHeight="1">
      <c r="A49" s="320" t="s">
        <v>1308</v>
      </c>
      <c r="B49" s="173" t="s">
        <v>16</v>
      </c>
      <c r="C49" s="258" t="s">
        <v>80</v>
      </c>
      <c r="D49" s="173" t="s">
        <v>194</v>
      </c>
      <c r="E49" s="173" t="s">
        <v>195</v>
      </c>
      <c r="F49" s="173">
        <v>2024</v>
      </c>
      <c r="G49" s="173" t="s">
        <v>73</v>
      </c>
      <c r="H49" s="173" t="s">
        <v>73</v>
      </c>
      <c r="I49" s="173" t="s">
        <v>35</v>
      </c>
      <c r="J49" s="173" t="s">
        <v>35</v>
      </c>
      <c r="K49" s="259" t="s">
        <v>196</v>
      </c>
      <c r="L49" s="173" t="s">
        <v>21</v>
      </c>
      <c r="M49" s="16" t="s">
        <v>197</v>
      </c>
      <c r="N49" s="21">
        <v>38832672</v>
      </c>
      <c r="O49" s="21" t="s">
        <v>198</v>
      </c>
      <c r="P49" s="16" t="s">
        <v>199</v>
      </c>
    </row>
    <row r="50" spans="1:16" ht="15" hidden="1" customHeight="1">
      <c r="A50" s="320" t="s">
        <v>1308</v>
      </c>
      <c r="B50" s="173" t="s">
        <v>16</v>
      </c>
      <c r="C50" s="258" t="s">
        <v>64</v>
      </c>
      <c r="D50" s="173" t="s">
        <v>1312</v>
      </c>
      <c r="E50" s="266" t="s">
        <v>201</v>
      </c>
      <c r="F50" s="173">
        <v>2024</v>
      </c>
      <c r="G50" s="173">
        <v>42</v>
      </c>
      <c r="H50" s="260" t="s">
        <v>202</v>
      </c>
      <c r="I50" s="173" t="s">
        <v>35</v>
      </c>
      <c r="J50" s="173" t="s">
        <v>35</v>
      </c>
      <c r="K50" s="259">
        <v>45376</v>
      </c>
      <c r="L50" s="173" t="s">
        <v>21</v>
      </c>
      <c r="M50" s="16" t="s">
        <v>203</v>
      </c>
      <c r="N50" s="122">
        <v>38531726</v>
      </c>
      <c r="O50" s="21" t="s">
        <v>204</v>
      </c>
      <c r="P50" s="16" t="s">
        <v>205</v>
      </c>
    </row>
    <row r="51" spans="1:16" ht="15" hidden="1" customHeight="1">
      <c r="A51" s="320" t="s">
        <v>1308</v>
      </c>
      <c r="B51" s="173" t="s">
        <v>16</v>
      </c>
      <c r="C51" s="258" t="s">
        <v>206</v>
      </c>
      <c r="D51" s="173" t="s">
        <v>1313</v>
      </c>
      <c r="E51" s="173" t="s">
        <v>208</v>
      </c>
      <c r="F51" s="173">
        <v>2024</v>
      </c>
      <c r="G51" s="260" t="s">
        <v>209</v>
      </c>
      <c r="H51" s="260" t="s">
        <v>210</v>
      </c>
      <c r="I51" s="173" t="s">
        <v>35</v>
      </c>
      <c r="J51" s="173" t="s">
        <v>35</v>
      </c>
      <c r="K51" s="259">
        <v>45415</v>
      </c>
      <c r="L51" s="173" t="s">
        <v>21</v>
      </c>
      <c r="M51" s="16" t="s">
        <v>211</v>
      </c>
      <c r="N51" s="122">
        <v>38793746</v>
      </c>
      <c r="O51" s="21" t="s">
        <v>212</v>
      </c>
      <c r="P51" s="16"/>
    </row>
    <row r="52" spans="1:16" ht="15" hidden="1" customHeight="1">
      <c r="A52" s="320" t="s">
        <v>1308</v>
      </c>
      <c r="B52" s="173" t="s">
        <v>16</v>
      </c>
      <c r="C52" s="258" t="s">
        <v>64</v>
      </c>
      <c r="D52" s="266" t="s">
        <v>213</v>
      </c>
      <c r="E52" s="266" t="s">
        <v>214</v>
      </c>
      <c r="F52" s="173">
        <v>2024</v>
      </c>
      <c r="G52" s="260"/>
      <c r="H52" s="260"/>
      <c r="I52" s="173" t="s">
        <v>72</v>
      </c>
      <c r="J52" s="173" t="s">
        <v>72</v>
      </c>
      <c r="K52" s="259">
        <v>45439</v>
      </c>
      <c r="L52" s="173" t="s">
        <v>21</v>
      </c>
      <c r="M52" s="136" t="s">
        <v>216</v>
      </c>
      <c r="N52" s="122">
        <v>38806351</v>
      </c>
      <c r="O52" s="145" t="s">
        <v>217</v>
      </c>
      <c r="P52" s="16" t="s">
        <v>218</v>
      </c>
    </row>
    <row r="53" spans="1:16" ht="15" hidden="1" customHeight="1">
      <c r="A53" s="320" t="s">
        <v>1308</v>
      </c>
      <c r="B53" s="173" t="s">
        <v>16</v>
      </c>
      <c r="C53" s="258" t="s">
        <v>219</v>
      </c>
      <c r="D53" s="173" t="s">
        <v>220</v>
      </c>
      <c r="E53" s="173" t="s">
        <v>221</v>
      </c>
      <c r="F53" s="173">
        <v>2024</v>
      </c>
      <c r="G53" s="173">
        <v>43</v>
      </c>
      <c r="H53" s="260" t="s">
        <v>222</v>
      </c>
      <c r="I53" s="173" t="s">
        <v>45</v>
      </c>
      <c r="J53" s="173" t="s">
        <v>45</v>
      </c>
      <c r="K53" s="259">
        <v>45474</v>
      </c>
      <c r="L53" s="173" t="s">
        <v>21</v>
      </c>
      <c r="M53" s="16" t="s">
        <v>223</v>
      </c>
      <c r="N53" s="395">
        <v>38950301</v>
      </c>
      <c r="O53" s="145" t="s">
        <v>224</v>
      </c>
      <c r="P53" s="16"/>
    </row>
    <row r="54" spans="1:16" ht="15" hidden="1" customHeight="1">
      <c r="A54" s="320" t="s">
        <v>1308</v>
      </c>
      <c r="B54" s="173" t="s">
        <v>16</v>
      </c>
      <c r="C54" s="258" t="s">
        <v>225</v>
      </c>
      <c r="D54" s="266" t="s">
        <v>226</v>
      </c>
      <c r="E54" s="266" t="s">
        <v>227</v>
      </c>
      <c r="F54" s="173">
        <v>2024</v>
      </c>
      <c r="G54" s="260"/>
      <c r="H54" s="260"/>
      <c r="I54" s="173" t="s">
        <v>35</v>
      </c>
      <c r="J54" s="173" t="s">
        <v>35</v>
      </c>
      <c r="K54" s="259">
        <v>45610</v>
      </c>
      <c r="L54" s="173" t="s">
        <v>21</v>
      </c>
      <c r="M54" s="136" t="s">
        <v>228</v>
      </c>
      <c r="N54" s="350">
        <v>39019662</v>
      </c>
      <c r="O54" s="21" t="s">
        <v>229</v>
      </c>
      <c r="P54" s="136" t="s">
        <v>230</v>
      </c>
    </row>
    <row r="55" spans="1:16" ht="15" hidden="1" customHeight="1">
      <c r="A55" s="320" t="s">
        <v>1308</v>
      </c>
      <c r="B55" s="173" t="s">
        <v>16</v>
      </c>
      <c r="C55" s="258" t="s">
        <v>231</v>
      </c>
      <c r="D55" s="173" t="s">
        <v>232</v>
      </c>
      <c r="E55" s="173" t="s">
        <v>233</v>
      </c>
      <c r="F55" s="173">
        <v>2024</v>
      </c>
      <c r="G55" s="260"/>
      <c r="H55" s="260"/>
      <c r="I55" s="173" t="s">
        <v>72</v>
      </c>
      <c r="J55" s="173" t="s">
        <v>72</v>
      </c>
      <c r="K55" s="259"/>
      <c r="L55" s="173" t="s">
        <v>21</v>
      </c>
      <c r="M55" s="33" t="s">
        <v>234</v>
      </c>
      <c r="N55" s="122" t="s">
        <v>75</v>
      </c>
      <c r="O55" s="122" t="s">
        <v>75</v>
      </c>
      <c r="P55" s="16" t="s">
        <v>235</v>
      </c>
    </row>
    <row r="56" spans="1:16" ht="15" hidden="1" customHeight="1">
      <c r="A56" s="320" t="s">
        <v>1308</v>
      </c>
      <c r="B56" s="173" t="s">
        <v>16</v>
      </c>
      <c r="C56" s="258" t="s">
        <v>17</v>
      </c>
      <c r="D56" s="269" t="s">
        <v>1314</v>
      </c>
      <c r="E56" s="173" t="s">
        <v>237</v>
      </c>
      <c r="F56" s="173">
        <v>2024</v>
      </c>
      <c r="G56" s="260"/>
      <c r="H56" s="260"/>
      <c r="I56" s="173" t="s">
        <v>20</v>
      </c>
      <c r="J56" s="173" t="s">
        <v>20</v>
      </c>
      <c r="K56" s="259">
        <v>45561</v>
      </c>
      <c r="L56" s="173" t="s">
        <v>21</v>
      </c>
      <c r="M56" s="16" t="s">
        <v>238</v>
      </c>
      <c r="N56" s="122">
        <v>39325675</v>
      </c>
      <c r="O56" s="21" t="s">
        <v>239</v>
      </c>
      <c r="P56" s="16"/>
    </row>
    <row r="57" spans="1:16" ht="15" hidden="1" customHeight="1">
      <c r="A57" s="320" t="s">
        <v>1308</v>
      </c>
      <c r="B57" s="173" t="s">
        <v>16</v>
      </c>
      <c r="C57" s="258" t="s">
        <v>69</v>
      </c>
      <c r="D57" s="173" t="s">
        <v>240</v>
      </c>
      <c r="E57" s="173" t="s">
        <v>233</v>
      </c>
      <c r="F57" s="173">
        <v>2024</v>
      </c>
      <c r="G57" s="260"/>
      <c r="H57" s="260"/>
      <c r="I57" s="173" t="s">
        <v>72</v>
      </c>
      <c r="J57" s="173" t="s">
        <v>72</v>
      </c>
      <c r="K57" s="259" t="s">
        <v>241</v>
      </c>
      <c r="L57" s="173" t="s">
        <v>21</v>
      </c>
      <c r="M57" s="33" t="s">
        <v>242</v>
      </c>
      <c r="N57" s="122" t="s">
        <v>75</v>
      </c>
      <c r="O57" s="21" t="s">
        <v>75</v>
      </c>
      <c r="P57" s="136" t="s">
        <v>243</v>
      </c>
    </row>
    <row r="58" spans="1:16" ht="15" hidden="1" customHeight="1">
      <c r="A58" s="320" t="s">
        <v>1308</v>
      </c>
      <c r="B58" s="173" t="s">
        <v>16</v>
      </c>
      <c r="C58" s="258" t="s">
        <v>17</v>
      </c>
      <c r="D58" s="173" t="s">
        <v>244</v>
      </c>
      <c r="E58" s="173" t="s">
        <v>245</v>
      </c>
      <c r="F58" s="173">
        <v>2024</v>
      </c>
      <c r="G58" s="260" t="s">
        <v>246</v>
      </c>
      <c r="H58" s="260" t="s">
        <v>247</v>
      </c>
      <c r="I58" s="173" t="s">
        <v>20</v>
      </c>
      <c r="J58" s="173" t="s">
        <v>20</v>
      </c>
      <c r="K58" s="259">
        <v>45526</v>
      </c>
      <c r="L58" s="173" t="s">
        <v>21</v>
      </c>
      <c r="M58" s="16" t="s">
        <v>248</v>
      </c>
      <c r="N58" s="122">
        <v>39173168</v>
      </c>
      <c r="O58" s="21" t="s">
        <v>249</v>
      </c>
      <c r="P58" s="136" t="s">
        <v>250</v>
      </c>
    </row>
    <row r="59" spans="1:16" ht="15" hidden="1" customHeight="1">
      <c r="A59" s="320" t="s">
        <v>1308</v>
      </c>
      <c r="B59" s="173" t="s">
        <v>16</v>
      </c>
      <c r="C59" s="258" t="s">
        <v>72</v>
      </c>
      <c r="D59" s="173" t="s">
        <v>251</v>
      </c>
      <c r="E59" s="173" t="s">
        <v>252</v>
      </c>
      <c r="F59" s="173">
        <v>2024</v>
      </c>
      <c r="G59" s="260"/>
      <c r="H59" s="260"/>
      <c r="I59" s="173" t="s">
        <v>72</v>
      </c>
      <c r="J59" s="173" t="s">
        <v>72</v>
      </c>
      <c r="K59" s="259">
        <v>45557</v>
      </c>
      <c r="L59" s="173" t="s">
        <v>21</v>
      </c>
      <c r="M59" s="136" t="s">
        <v>253</v>
      </c>
      <c r="N59" s="122" t="s">
        <v>75</v>
      </c>
      <c r="O59" s="122" t="s">
        <v>75</v>
      </c>
      <c r="P59" s="16"/>
    </row>
    <row r="60" spans="1:16" ht="15" hidden="1" customHeight="1">
      <c r="A60" s="320" t="s">
        <v>1308</v>
      </c>
      <c r="B60" s="173" t="s">
        <v>16</v>
      </c>
      <c r="C60" s="258" t="s">
        <v>17</v>
      </c>
      <c r="D60" s="173" t="s">
        <v>254</v>
      </c>
      <c r="E60" s="173" t="s">
        <v>255</v>
      </c>
      <c r="F60" s="173">
        <v>2024</v>
      </c>
      <c r="G60" s="260" t="s">
        <v>246</v>
      </c>
      <c r="H60" s="260" t="s">
        <v>256</v>
      </c>
      <c r="I60" s="173" t="s">
        <v>20</v>
      </c>
      <c r="J60" s="173" t="s">
        <v>20</v>
      </c>
      <c r="K60" s="259">
        <v>45557</v>
      </c>
      <c r="L60" s="173" t="s">
        <v>21</v>
      </c>
      <c r="M60" s="16" t="s">
        <v>257</v>
      </c>
      <c r="N60" s="122">
        <v>39173180</v>
      </c>
      <c r="O60" s="21" t="s">
        <v>258</v>
      </c>
      <c r="P60" s="136" t="s">
        <v>259</v>
      </c>
    </row>
    <row r="61" spans="1:16" ht="15" hidden="1" customHeight="1">
      <c r="A61" s="320" t="s">
        <v>1308</v>
      </c>
      <c r="B61" s="173" t="s">
        <v>16</v>
      </c>
      <c r="C61" s="258" t="s">
        <v>17</v>
      </c>
      <c r="D61" s="173" t="s">
        <v>1315</v>
      </c>
      <c r="E61" s="173" t="s">
        <v>261</v>
      </c>
      <c r="F61" s="173">
        <v>2024</v>
      </c>
      <c r="G61" s="260"/>
      <c r="H61" s="260"/>
      <c r="I61" s="173" t="s">
        <v>20</v>
      </c>
      <c r="J61" s="173" t="s">
        <v>20</v>
      </c>
      <c r="K61" s="259">
        <v>45561</v>
      </c>
      <c r="L61" s="173" t="s">
        <v>21</v>
      </c>
      <c r="M61" s="16" t="s">
        <v>262</v>
      </c>
      <c r="N61" s="122">
        <v>39325676</v>
      </c>
      <c r="O61" s="21" t="s">
        <v>263</v>
      </c>
      <c r="P61" s="136" t="s">
        <v>264</v>
      </c>
    </row>
    <row r="62" spans="1:16" ht="15" hidden="1" customHeight="1">
      <c r="A62" s="320" t="s">
        <v>1308</v>
      </c>
      <c r="B62" s="173" t="s">
        <v>16</v>
      </c>
      <c r="C62" s="258" t="s">
        <v>17</v>
      </c>
      <c r="D62" s="173" t="s">
        <v>265</v>
      </c>
      <c r="E62" s="266" t="s">
        <v>266</v>
      </c>
      <c r="F62" s="173">
        <v>2024</v>
      </c>
      <c r="G62" s="260"/>
      <c r="H62" s="260"/>
      <c r="I62" s="173" t="s">
        <v>20</v>
      </c>
      <c r="J62" s="173" t="s">
        <v>20</v>
      </c>
      <c r="K62" s="259">
        <v>45561</v>
      </c>
      <c r="L62" s="173" t="s">
        <v>21</v>
      </c>
      <c r="M62" s="16" t="s">
        <v>267</v>
      </c>
      <c r="N62" s="122">
        <v>39325666</v>
      </c>
      <c r="O62" s="21" t="s">
        <v>268</v>
      </c>
      <c r="P62" s="136" t="s">
        <v>269</v>
      </c>
    </row>
    <row r="63" spans="1:16" ht="15" hidden="1" customHeight="1">
      <c r="A63" s="320" t="s">
        <v>1308</v>
      </c>
      <c r="B63" s="173" t="s">
        <v>16</v>
      </c>
      <c r="C63" s="258" t="s">
        <v>69</v>
      </c>
      <c r="D63" s="173" t="s">
        <v>270</v>
      </c>
      <c r="E63" s="173" t="s">
        <v>271</v>
      </c>
      <c r="F63" s="173">
        <v>2024</v>
      </c>
      <c r="G63" s="260"/>
      <c r="H63" s="260"/>
      <c r="I63" s="173" t="s">
        <v>72</v>
      </c>
      <c r="J63" s="173" t="s">
        <v>72</v>
      </c>
      <c r="K63" s="259">
        <v>45573</v>
      </c>
      <c r="L63" s="173" t="s">
        <v>272</v>
      </c>
      <c r="M63" s="33" t="s">
        <v>273</v>
      </c>
      <c r="N63" s="122" t="s">
        <v>75</v>
      </c>
      <c r="O63" s="21" t="s">
        <v>75</v>
      </c>
      <c r="P63" s="16"/>
    </row>
    <row r="64" spans="1:16" ht="15" hidden="1" customHeight="1">
      <c r="A64" s="320" t="s">
        <v>1308</v>
      </c>
      <c r="B64" s="173" t="s">
        <v>16</v>
      </c>
      <c r="C64" s="258" t="s">
        <v>64</v>
      </c>
      <c r="D64" s="266" t="s">
        <v>274</v>
      </c>
      <c r="E64" s="173" t="s">
        <v>275</v>
      </c>
      <c r="F64" s="173">
        <v>2024</v>
      </c>
      <c r="G64" s="260" t="s">
        <v>276</v>
      </c>
      <c r="H64" s="260" t="s">
        <v>277</v>
      </c>
      <c r="I64" s="173" t="s">
        <v>35</v>
      </c>
      <c r="J64" s="173" t="s">
        <v>35</v>
      </c>
      <c r="K64" s="259">
        <v>45569</v>
      </c>
      <c r="L64" s="270" t="s">
        <v>21</v>
      </c>
      <c r="M64" s="16" t="s">
        <v>278</v>
      </c>
      <c r="N64" s="122">
        <v>39368124</v>
      </c>
      <c r="O64" s="21" t="s">
        <v>279</v>
      </c>
      <c r="P64" s="136" t="s">
        <v>280</v>
      </c>
    </row>
    <row r="65" spans="1:16" ht="15" hidden="1" customHeight="1">
      <c r="A65" s="320" t="s">
        <v>1308</v>
      </c>
      <c r="B65" s="173" t="s">
        <v>16</v>
      </c>
      <c r="C65" s="258" t="s">
        <v>72</v>
      </c>
      <c r="D65" s="173" t="s">
        <v>281</v>
      </c>
      <c r="E65" s="173" t="s">
        <v>282</v>
      </c>
      <c r="F65" s="173">
        <v>2024</v>
      </c>
      <c r="G65" s="260"/>
      <c r="H65" s="260"/>
      <c r="I65" s="173" t="s">
        <v>72</v>
      </c>
      <c r="J65" s="173" t="s">
        <v>72</v>
      </c>
      <c r="K65" s="259">
        <v>45560</v>
      </c>
      <c r="L65" s="173" t="s">
        <v>21</v>
      </c>
      <c r="M65" s="136" t="s">
        <v>284</v>
      </c>
      <c r="N65" s="21" t="s">
        <v>75</v>
      </c>
      <c r="O65" s="21" t="s">
        <v>75</v>
      </c>
      <c r="P65" s="16"/>
    </row>
    <row r="66" spans="1:16" ht="15" hidden="1" customHeight="1">
      <c r="A66" s="320" t="s">
        <v>1308</v>
      </c>
      <c r="B66" s="173" t="s">
        <v>16</v>
      </c>
      <c r="C66" s="258" t="s">
        <v>69</v>
      </c>
      <c r="D66" s="173" t="s">
        <v>270</v>
      </c>
      <c r="E66" s="173" t="s">
        <v>285</v>
      </c>
      <c r="F66" s="173">
        <v>2024</v>
      </c>
      <c r="G66" s="260"/>
      <c r="H66" s="260"/>
      <c r="I66" s="173" t="s">
        <v>72</v>
      </c>
      <c r="J66" s="173" t="s">
        <v>72</v>
      </c>
      <c r="K66" s="259">
        <v>45560</v>
      </c>
      <c r="L66" s="173" t="s">
        <v>21</v>
      </c>
      <c r="M66" s="136" t="s">
        <v>286</v>
      </c>
      <c r="N66" s="21" t="s">
        <v>75</v>
      </c>
      <c r="O66" s="21" t="s">
        <v>75</v>
      </c>
      <c r="P66" s="16"/>
    </row>
    <row r="67" spans="1:16" ht="15" hidden="1" customHeight="1">
      <c r="A67" s="320" t="s">
        <v>1308</v>
      </c>
      <c r="B67" s="173" t="s">
        <v>16</v>
      </c>
      <c r="C67" s="258" t="s">
        <v>69</v>
      </c>
      <c r="D67" s="173" t="s">
        <v>287</v>
      </c>
      <c r="E67" s="173" t="s">
        <v>288</v>
      </c>
      <c r="F67" s="173">
        <v>2024</v>
      </c>
      <c r="G67" s="260"/>
      <c r="H67" s="260"/>
      <c r="I67" s="173" t="s">
        <v>72</v>
      </c>
      <c r="J67" s="173" t="s">
        <v>72</v>
      </c>
      <c r="K67" s="259">
        <v>45567</v>
      </c>
      <c r="L67" s="173" t="s">
        <v>21</v>
      </c>
      <c r="M67" s="136" t="s">
        <v>289</v>
      </c>
      <c r="N67" s="21" t="s">
        <v>75</v>
      </c>
      <c r="O67" s="21" t="s">
        <v>75</v>
      </c>
      <c r="P67" s="16"/>
    </row>
    <row r="68" spans="1:16" ht="15" hidden="1" customHeight="1">
      <c r="A68" s="320" t="s">
        <v>1308</v>
      </c>
      <c r="B68" s="173" t="s">
        <v>16</v>
      </c>
      <c r="C68" s="258" t="s">
        <v>69</v>
      </c>
      <c r="D68" s="173" t="s">
        <v>290</v>
      </c>
      <c r="E68" s="173" t="s">
        <v>291</v>
      </c>
      <c r="F68" s="173">
        <v>2024</v>
      </c>
      <c r="G68" s="260"/>
      <c r="H68" s="260"/>
      <c r="I68" s="173" t="s">
        <v>72</v>
      </c>
      <c r="J68" s="173" t="s">
        <v>72</v>
      </c>
      <c r="K68" s="259" t="s">
        <v>292</v>
      </c>
      <c r="L68" s="173" t="s">
        <v>21</v>
      </c>
      <c r="M68" s="16" t="s">
        <v>293</v>
      </c>
      <c r="N68" s="21" t="s">
        <v>75</v>
      </c>
      <c r="O68" s="21" t="s">
        <v>75</v>
      </c>
      <c r="P68" s="16"/>
    </row>
    <row r="69" spans="1:16" ht="15" hidden="1" customHeight="1">
      <c r="A69" s="320" t="s">
        <v>1308</v>
      </c>
      <c r="B69" s="173" t="s">
        <v>16</v>
      </c>
      <c r="C69" s="258" t="s">
        <v>69</v>
      </c>
      <c r="D69" s="266" t="s">
        <v>294</v>
      </c>
      <c r="E69" s="173" t="s">
        <v>295</v>
      </c>
      <c r="F69" s="173">
        <v>2024</v>
      </c>
      <c r="G69" s="260"/>
      <c r="H69" s="260"/>
      <c r="I69" s="173" t="s">
        <v>72</v>
      </c>
      <c r="J69" s="173" t="s">
        <v>72</v>
      </c>
      <c r="K69" s="259">
        <v>45602</v>
      </c>
      <c r="L69" s="173" t="s">
        <v>21</v>
      </c>
      <c r="M69" s="33" t="s">
        <v>296</v>
      </c>
      <c r="N69" s="21" t="s">
        <v>75</v>
      </c>
      <c r="O69" s="21" t="s">
        <v>75</v>
      </c>
      <c r="P69" s="16"/>
    </row>
    <row r="70" spans="1:16" ht="15" hidden="1" customHeight="1">
      <c r="A70" s="320" t="s">
        <v>1308</v>
      </c>
      <c r="B70" s="173" t="s">
        <v>16</v>
      </c>
      <c r="C70" s="258" t="s">
        <v>17</v>
      </c>
      <c r="D70" s="266" t="s">
        <v>297</v>
      </c>
      <c r="E70" s="266" t="s">
        <v>298</v>
      </c>
      <c r="F70" s="173">
        <v>2024</v>
      </c>
      <c r="G70" s="260"/>
      <c r="H70" s="260"/>
      <c r="I70" s="173" t="s">
        <v>20</v>
      </c>
      <c r="J70" s="173" t="s">
        <v>20</v>
      </c>
      <c r="K70" s="259">
        <v>45618</v>
      </c>
      <c r="L70" s="173" t="s">
        <v>21</v>
      </c>
      <c r="M70" s="16" t="s">
        <v>299</v>
      </c>
      <c r="N70" s="122">
        <v>39570786</v>
      </c>
      <c r="O70" s="122" t="s">
        <v>300</v>
      </c>
      <c r="P70" s="16"/>
    </row>
    <row r="71" spans="1:16" ht="15" hidden="1" customHeight="1">
      <c r="A71" s="320" t="s">
        <v>1308</v>
      </c>
      <c r="B71" s="173" t="s">
        <v>16</v>
      </c>
      <c r="C71" s="258" t="s">
        <v>64</v>
      </c>
      <c r="D71" s="266" t="s">
        <v>1316</v>
      </c>
      <c r="E71" s="266" t="s">
        <v>302</v>
      </c>
      <c r="F71" s="173">
        <v>2024</v>
      </c>
      <c r="G71" s="260"/>
      <c r="H71" s="260"/>
      <c r="I71" s="173" t="s">
        <v>35</v>
      </c>
      <c r="J71" s="173" t="s">
        <v>35</v>
      </c>
      <c r="K71" s="259">
        <v>45658</v>
      </c>
      <c r="L71" s="173" t="s">
        <v>21</v>
      </c>
      <c r="M71" s="16" t="s">
        <v>303</v>
      </c>
      <c r="N71" s="122">
        <v>39579649</v>
      </c>
      <c r="O71" s="21" t="s">
        <v>304</v>
      </c>
      <c r="P71" s="33" t="s">
        <v>305</v>
      </c>
    </row>
    <row r="72" spans="1:16" ht="15" hidden="1" customHeight="1">
      <c r="A72" s="320" t="s">
        <v>1308</v>
      </c>
      <c r="B72" s="173" t="s">
        <v>16</v>
      </c>
      <c r="C72" s="258" t="s">
        <v>69</v>
      </c>
      <c r="D72" s="173" t="s">
        <v>306</v>
      </c>
      <c r="E72" s="173" t="s">
        <v>307</v>
      </c>
      <c r="F72" s="173">
        <v>2024</v>
      </c>
      <c r="G72" s="260"/>
      <c r="H72" s="260"/>
      <c r="I72" s="173" t="s">
        <v>72</v>
      </c>
      <c r="J72" s="173" t="s">
        <v>72</v>
      </c>
      <c r="K72" s="259">
        <v>45639</v>
      </c>
      <c r="L72" s="173" t="s">
        <v>21</v>
      </c>
      <c r="M72" s="136" t="s">
        <v>308</v>
      </c>
      <c r="N72" s="122" t="s">
        <v>75</v>
      </c>
      <c r="O72" s="21" t="s">
        <v>75</v>
      </c>
      <c r="P72" s="47" t="s">
        <v>309</v>
      </c>
    </row>
    <row r="73" spans="1:16" ht="15" hidden="1" customHeight="1">
      <c r="A73" s="320" t="s">
        <v>1308</v>
      </c>
      <c r="B73" s="173" t="s">
        <v>16</v>
      </c>
      <c r="C73" s="258" t="s">
        <v>64</v>
      </c>
      <c r="D73" s="173" t="s">
        <v>310</v>
      </c>
      <c r="E73" s="173" t="s">
        <v>311</v>
      </c>
      <c r="F73" s="173">
        <v>2024</v>
      </c>
      <c r="G73" s="260"/>
      <c r="H73" s="260"/>
      <c r="I73" s="173" t="s">
        <v>35</v>
      </c>
      <c r="J73" s="173" t="s">
        <v>35</v>
      </c>
      <c r="K73" s="259">
        <v>45627</v>
      </c>
      <c r="L73" s="173" t="s">
        <v>21</v>
      </c>
      <c r="M73" s="16" t="s">
        <v>312</v>
      </c>
      <c r="N73" s="21">
        <v>39615345</v>
      </c>
      <c r="O73" s="21" t="s">
        <v>313</v>
      </c>
      <c r="P73" s="136" t="s">
        <v>314</v>
      </c>
    </row>
    <row r="74" spans="1:16" ht="15" customHeight="1">
      <c r="A74" s="320" t="s">
        <v>1308</v>
      </c>
      <c r="B74" s="267" t="s">
        <v>16</v>
      </c>
      <c r="C74" s="258" t="s">
        <v>126</v>
      </c>
      <c r="D74" s="173" t="s">
        <v>320</v>
      </c>
      <c r="E74" s="173" t="s">
        <v>321</v>
      </c>
      <c r="F74" s="173">
        <v>2025</v>
      </c>
      <c r="G74" s="260"/>
      <c r="H74" s="260"/>
      <c r="I74" s="173" t="s">
        <v>35</v>
      </c>
      <c r="J74" s="173" t="s">
        <v>35</v>
      </c>
      <c r="K74" s="259">
        <v>45783</v>
      </c>
      <c r="L74" s="173" t="s">
        <v>21</v>
      </c>
      <c r="M74" s="16" t="s">
        <v>322</v>
      </c>
      <c r="N74" s="144"/>
      <c r="O74" s="145"/>
      <c r="P74" s="136" t="s">
        <v>323</v>
      </c>
    </row>
    <row r="75" spans="1:16" ht="15" customHeight="1">
      <c r="A75" s="320" t="s">
        <v>1308</v>
      </c>
      <c r="B75" s="173" t="s">
        <v>16</v>
      </c>
      <c r="C75" s="271" t="s">
        <v>328</v>
      </c>
      <c r="D75" s="266" t="s">
        <v>329</v>
      </c>
      <c r="E75" s="266" t="s">
        <v>330</v>
      </c>
      <c r="F75" s="173">
        <v>2025</v>
      </c>
      <c r="G75" s="260"/>
      <c r="H75" s="260"/>
      <c r="I75" s="173" t="s">
        <v>35</v>
      </c>
      <c r="J75" s="173" t="s">
        <v>35</v>
      </c>
      <c r="K75" s="259">
        <v>45717</v>
      </c>
      <c r="L75" s="173" t="s">
        <v>21</v>
      </c>
      <c r="M75" s="16" t="s">
        <v>331</v>
      </c>
      <c r="N75" s="122">
        <v>40129365</v>
      </c>
      <c r="O75" s="21" t="s">
        <v>332</v>
      </c>
      <c r="P75" s="33" t="s">
        <v>333</v>
      </c>
    </row>
    <row r="76" spans="1:16" ht="15" customHeight="1">
      <c r="A76" s="320" t="s">
        <v>1308</v>
      </c>
      <c r="B76" s="173" t="s">
        <v>379</v>
      </c>
      <c r="C76" s="271" t="s">
        <v>1317</v>
      </c>
      <c r="D76" s="266" t="s">
        <v>401</v>
      </c>
      <c r="E76" s="266" t="s">
        <v>402</v>
      </c>
      <c r="F76" s="173">
        <v>2025</v>
      </c>
      <c r="G76" s="260"/>
      <c r="H76" s="260"/>
      <c r="I76" s="173" t="s">
        <v>35</v>
      </c>
      <c r="J76" s="173" t="s">
        <v>35</v>
      </c>
      <c r="K76" s="259"/>
      <c r="L76" s="173" t="s">
        <v>272</v>
      </c>
      <c r="M76" s="16"/>
      <c r="N76" s="122"/>
      <c r="O76" s="21"/>
      <c r="P76" s="16"/>
    </row>
    <row r="77" spans="1:16" ht="15" hidden="1" customHeight="1">
      <c r="A77" s="320" t="s">
        <v>1308</v>
      </c>
      <c r="B77" s="173" t="s">
        <v>16</v>
      </c>
      <c r="C77" s="258" t="s">
        <v>64</v>
      </c>
      <c r="D77" s="266" t="s">
        <v>324</v>
      </c>
      <c r="E77" s="173" t="s">
        <v>325</v>
      </c>
      <c r="F77" s="173">
        <v>2024</v>
      </c>
      <c r="G77" s="260"/>
      <c r="H77" s="260"/>
      <c r="I77" s="173" t="s">
        <v>35</v>
      </c>
      <c r="J77" s="173" t="s">
        <v>35</v>
      </c>
      <c r="K77" s="259">
        <v>45552</v>
      </c>
      <c r="L77" s="173" t="s">
        <v>21</v>
      </c>
      <c r="M77" s="16" t="s">
        <v>326</v>
      </c>
      <c r="N77" s="122">
        <v>38719692</v>
      </c>
      <c r="O77" s="21" t="s">
        <v>327</v>
      </c>
      <c r="P77" s="148"/>
    </row>
    <row r="78" spans="1:16" ht="15" customHeight="1">
      <c r="A78" s="320" t="s">
        <v>1308</v>
      </c>
      <c r="B78" s="173" t="s">
        <v>379</v>
      </c>
      <c r="C78" s="271" t="s">
        <v>385</v>
      </c>
      <c r="D78" s="266" t="s">
        <v>386</v>
      </c>
      <c r="E78" s="266" t="s">
        <v>387</v>
      </c>
      <c r="F78" s="173">
        <v>2025</v>
      </c>
      <c r="G78" s="260"/>
      <c r="H78" s="260"/>
      <c r="I78" s="173" t="s">
        <v>35</v>
      </c>
      <c r="J78" s="173" t="s">
        <v>35</v>
      </c>
      <c r="K78" s="259" t="s">
        <v>388</v>
      </c>
      <c r="L78" s="173" t="s">
        <v>272</v>
      </c>
      <c r="M78" s="16"/>
      <c r="N78" s="122"/>
      <c r="O78" s="21"/>
      <c r="P78" s="16" t="s">
        <v>1318</v>
      </c>
    </row>
    <row r="79" spans="1:16" ht="15" customHeight="1">
      <c r="A79" s="320" t="s">
        <v>1308</v>
      </c>
      <c r="B79" s="173" t="s">
        <v>16</v>
      </c>
      <c r="C79" s="258" t="s">
        <v>338</v>
      </c>
      <c r="D79" s="266" t="s">
        <v>339</v>
      </c>
      <c r="E79" s="266" t="s">
        <v>1319</v>
      </c>
      <c r="F79" s="173">
        <v>2025</v>
      </c>
      <c r="G79" s="260"/>
      <c r="H79" s="260"/>
      <c r="I79" s="173" t="s">
        <v>35</v>
      </c>
      <c r="J79" s="173" t="s">
        <v>35</v>
      </c>
      <c r="K79" s="259" t="s">
        <v>341</v>
      </c>
      <c r="L79" s="173" t="s">
        <v>21</v>
      </c>
      <c r="M79" s="136" t="s">
        <v>342</v>
      </c>
      <c r="N79" s="122"/>
      <c r="O79" s="21"/>
      <c r="P79" s="16"/>
    </row>
    <row r="80" spans="1:16" ht="15" customHeight="1">
      <c r="A80" s="320" t="s">
        <v>1308</v>
      </c>
      <c r="B80" s="173" t="s">
        <v>16</v>
      </c>
      <c r="C80" s="258" t="s">
        <v>343</v>
      </c>
      <c r="D80" s="266" t="s">
        <v>344</v>
      </c>
      <c r="E80" s="266" t="s">
        <v>1320</v>
      </c>
      <c r="F80" s="173">
        <v>2025</v>
      </c>
      <c r="G80" s="260"/>
      <c r="H80" s="260"/>
      <c r="I80" s="173" t="s">
        <v>35</v>
      </c>
      <c r="J80" s="173" t="s">
        <v>35</v>
      </c>
      <c r="K80" s="259" t="s">
        <v>347</v>
      </c>
      <c r="L80" s="173" t="s">
        <v>21</v>
      </c>
      <c r="M80" s="136" t="s">
        <v>348</v>
      </c>
      <c r="N80" s="122"/>
      <c r="O80" s="21"/>
      <c r="P80" s="16"/>
    </row>
    <row r="81" spans="1:18" ht="15" customHeight="1">
      <c r="A81" s="320" t="s">
        <v>1308</v>
      </c>
      <c r="B81" s="173" t="s">
        <v>379</v>
      </c>
      <c r="C81" s="258" t="s">
        <v>349</v>
      </c>
      <c r="D81" s="266" t="s">
        <v>350</v>
      </c>
      <c r="E81" s="266" t="s">
        <v>351</v>
      </c>
      <c r="F81" s="173">
        <v>2025</v>
      </c>
      <c r="G81" s="260"/>
      <c r="H81" s="260"/>
      <c r="I81" s="173" t="s">
        <v>35</v>
      </c>
      <c r="J81" s="173" t="s">
        <v>35</v>
      </c>
      <c r="K81" s="259"/>
      <c r="L81" s="173" t="s">
        <v>272</v>
      </c>
      <c r="M81" s="16"/>
      <c r="N81" s="122"/>
      <c r="O81" s="21"/>
      <c r="P81" s="16"/>
    </row>
    <row r="82" spans="1:18" ht="15" customHeight="1">
      <c r="A82" s="320" t="s">
        <v>1308</v>
      </c>
      <c r="B82" s="173" t="s">
        <v>379</v>
      </c>
      <c r="C82" s="258" t="s">
        <v>1321</v>
      </c>
      <c r="D82" s="266" t="s">
        <v>1322</v>
      </c>
      <c r="E82" s="266" t="s">
        <v>382</v>
      </c>
      <c r="F82" s="173">
        <v>2025</v>
      </c>
      <c r="G82" s="260"/>
      <c r="H82" s="260"/>
      <c r="I82" s="173" t="s">
        <v>35</v>
      </c>
      <c r="J82" s="173" t="s">
        <v>35</v>
      </c>
      <c r="K82" s="259" t="s">
        <v>383</v>
      </c>
      <c r="L82" s="173"/>
      <c r="M82" s="16"/>
      <c r="N82" s="122"/>
      <c r="O82" s="21"/>
      <c r="P82" s="16" t="s">
        <v>1323</v>
      </c>
    </row>
    <row r="83" spans="1:18" ht="15" customHeight="1">
      <c r="A83" s="320" t="s">
        <v>1308</v>
      </c>
      <c r="B83" s="173" t="s">
        <v>16</v>
      </c>
      <c r="C83" s="258" t="s">
        <v>72</v>
      </c>
      <c r="D83" s="173" t="s">
        <v>354</v>
      </c>
      <c r="E83" s="268" t="s">
        <v>355</v>
      </c>
      <c r="F83" s="173">
        <v>2025</v>
      </c>
      <c r="G83" s="260"/>
      <c r="H83" s="260"/>
      <c r="I83" s="173" t="s">
        <v>72</v>
      </c>
      <c r="J83" s="173" t="s">
        <v>72</v>
      </c>
      <c r="K83" s="259">
        <v>45852</v>
      </c>
      <c r="L83" s="173" t="s">
        <v>21</v>
      </c>
      <c r="M83" s="136" t="s">
        <v>357</v>
      </c>
      <c r="N83" s="122"/>
      <c r="O83" s="21"/>
      <c r="P83" s="16"/>
    </row>
    <row r="84" spans="1:18" ht="15" customHeight="1">
      <c r="A84" s="320" t="s">
        <v>1308</v>
      </c>
      <c r="B84" s="166" t="s">
        <v>16</v>
      </c>
      <c r="C84" s="170" t="s">
        <v>17</v>
      </c>
      <c r="D84" s="171" t="s">
        <v>358</v>
      </c>
      <c r="E84" s="171" t="s">
        <v>359</v>
      </c>
      <c r="F84" s="272">
        <v>2025</v>
      </c>
      <c r="G84" s="175"/>
      <c r="H84" s="175"/>
      <c r="I84" s="171" t="s">
        <v>20</v>
      </c>
      <c r="J84" s="171" t="s">
        <v>20</v>
      </c>
      <c r="K84" s="176">
        <v>45883</v>
      </c>
      <c r="L84" s="171" t="s">
        <v>21</v>
      </c>
      <c r="M84" s="16" t="s">
        <v>360</v>
      </c>
      <c r="N84" s="25">
        <v>39173168</v>
      </c>
      <c r="O84" s="16" t="s">
        <v>361</v>
      </c>
      <c r="P84" s="16"/>
    </row>
    <row r="85" spans="1:18" ht="15" customHeight="1">
      <c r="A85" s="320" t="s">
        <v>1308</v>
      </c>
      <c r="B85" s="166" t="s">
        <v>16</v>
      </c>
      <c r="C85" s="170" t="s">
        <v>72</v>
      </c>
      <c r="D85" s="171" t="s">
        <v>362</v>
      </c>
      <c r="E85" s="171" t="s">
        <v>363</v>
      </c>
      <c r="F85" s="272">
        <v>2025</v>
      </c>
      <c r="G85" s="175"/>
      <c r="H85" s="175"/>
      <c r="I85" s="171" t="s">
        <v>72</v>
      </c>
      <c r="J85" s="171" t="s">
        <v>72</v>
      </c>
      <c r="K85" s="176">
        <v>45890</v>
      </c>
      <c r="L85" s="171" t="s">
        <v>21</v>
      </c>
      <c r="M85" s="221" t="s">
        <v>364</v>
      </c>
      <c r="N85" s="25"/>
      <c r="O85" s="16"/>
      <c r="P85" s="16"/>
    </row>
    <row r="86" spans="1:18" ht="15" customHeight="1">
      <c r="A86" s="320" t="s">
        <v>1308</v>
      </c>
      <c r="B86" s="166" t="s">
        <v>379</v>
      </c>
      <c r="C86" s="170" t="s">
        <v>1324</v>
      </c>
      <c r="D86" s="171" t="s">
        <v>365</v>
      </c>
      <c r="E86" s="171" t="s">
        <v>366</v>
      </c>
      <c r="F86" s="272">
        <v>2025</v>
      </c>
      <c r="G86" s="175"/>
      <c r="H86" s="175"/>
      <c r="I86" s="171" t="s">
        <v>35</v>
      </c>
      <c r="J86" s="171" t="s">
        <v>35</v>
      </c>
      <c r="K86" s="176"/>
      <c r="L86" s="171"/>
      <c r="M86" s="221"/>
      <c r="N86" s="25"/>
      <c r="O86" s="16"/>
      <c r="P86" s="16" t="s">
        <v>1325</v>
      </c>
    </row>
    <row r="87" spans="1:18" ht="15" hidden="1" customHeight="1">
      <c r="A87" s="320" t="s">
        <v>1326</v>
      </c>
      <c r="B87" s="171" t="s">
        <v>16</v>
      </c>
      <c r="C87" s="258" t="s">
        <v>385</v>
      </c>
      <c r="D87" s="173" t="s">
        <v>436</v>
      </c>
      <c r="E87" s="173" t="s">
        <v>437</v>
      </c>
      <c r="F87" s="173">
        <v>2023</v>
      </c>
      <c r="G87" s="223"/>
      <c r="H87" s="223"/>
      <c r="I87" s="173" t="s">
        <v>35</v>
      </c>
      <c r="J87" s="173" t="s">
        <v>35</v>
      </c>
      <c r="K87" s="270">
        <v>44964</v>
      </c>
      <c r="L87" s="173" t="s">
        <v>21</v>
      </c>
      <c r="M87" s="16" t="s">
        <v>438</v>
      </c>
      <c r="N87" s="47" t="s">
        <v>440</v>
      </c>
      <c r="O87" s="47" t="s">
        <v>440</v>
      </c>
      <c r="P87" s="16"/>
    </row>
    <row r="88" spans="1:18" ht="15" hidden="1" customHeight="1">
      <c r="A88" s="320" t="s">
        <v>1326</v>
      </c>
      <c r="B88" s="171" t="s">
        <v>16</v>
      </c>
      <c r="C88" s="258" t="s">
        <v>64</v>
      </c>
      <c r="D88" s="173" t="s">
        <v>441</v>
      </c>
      <c r="E88" s="173" t="s">
        <v>442</v>
      </c>
      <c r="F88" s="173">
        <v>2023</v>
      </c>
      <c r="G88" s="223"/>
      <c r="H88" s="223"/>
      <c r="I88" s="173" t="s">
        <v>35</v>
      </c>
      <c r="J88" s="173" t="s">
        <v>35</v>
      </c>
      <c r="K88" s="270">
        <v>44970</v>
      </c>
      <c r="L88" s="173" t="s">
        <v>21</v>
      </c>
      <c r="M88" s="16" t="s">
        <v>443</v>
      </c>
      <c r="N88" s="16">
        <v>36797098</v>
      </c>
      <c r="O88" s="16" t="s">
        <v>444</v>
      </c>
      <c r="P88" s="16"/>
    </row>
    <row r="89" spans="1:18" ht="15" hidden="1" customHeight="1">
      <c r="A89" s="320" t="s">
        <v>1326</v>
      </c>
      <c r="B89" s="171" t="s">
        <v>16</v>
      </c>
      <c r="C89" s="170" t="s">
        <v>17</v>
      </c>
      <c r="D89" s="171" t="s">
        <v>445</v>
      </c>
      <c r="E89" s="171" t="s">
        <v>446</v>
      </c>
      <c r="F89" s="171">
        <v>2023</v>
      </c>
      <c r="I89" s="171" t="s">
        <v>20</v>
      </c>
      <c r="J89" s="171" t="s">
        <v>20</v>
      </c>
      <c r="K89" s="178">
        <v>44980</v>
      </c>
      <c r="L89" s="173" t="s">
        <v>21</v>
      </c>
      <c r="M89" s="16" t="s">
        <v>447</v>
      </c>
      <c r="N89" s="16">
        <v>36795658</v>
      </c>
      <c r="O89" s="16" t="s">
        <v>448</v>
      </c>
      <c r="P89" s="16"/>
    </row>
    <row r="90" spans="1:18" ht="15" hidden="1" customHeight="1">
      <c r="A90" s="320" t="s">
        <v>1326</v>
      </c>
      <c r="B90" s="171" t="s">
        <v>16</v>
      </c>
      <c r="C90" s="258" t="s">
        <v>80</v>
      </c>
      <c r="D90" s="171" t="s">
        <v>449</v>
      </c>
      <c r="E90" s="171" t="s">
        <v>450</v>
      </c>
      <c r="F90" s="171">
        <v>2023</v>
      </c>
      <c r="G90" s="171"/>
      <c r="H90" s="171"/>
      <c r="I90" s="171" t="s">
        <v>35</v>
      </c>
      <c r="J90" s="171" t="s">
        <v>35</v>
      </c>
      <c r="K90" s="178">
        <v>45135</v>
      </c>
      <c r="L90" s="173" t="s">
        <v>21</v>
      </c>
      <c r="M90" s="16" t="s">
        <v>451</v>
      </c>
      <c r="N90" s="16">
        <v>37503697</v>
      </c>
      <c r="O90" s="16" t="s">
        <v>453</v>
      </c>
      <c r="P90" s="16"/>
      <c r="Q90" s="171"/>
      <c r="R90" s="171"/>
    </row>
    <row r="91" spans="1:18" ht="15" hidden="1" customHeight="1">
      <c r="A91" s="320" t="s">
        <v>1326</v>
      </c>
      <c r="B91" s="171" t="s">
        <v>16</v>
      </c>
      <c r="C91" s="170" t="s">
        <v>64</v>
      </c>
      <c r="D91" s="171" t="s">
        <v>454</v>
      </c>
      <c r="E91" s="171" t="s">
        <v>455</v>
      </c>
      <c r="F91" s="171">
        <v>2023</v>
      </c>
      <c r="I91" s="171" t="s">
        <v>35</v>
      </c>
      <c r="J91" s="171" t="s">
        <v>35</v>
      </c>
      <c r="K91" s="178">
        <v>45274</v>
      </c>
      <c r="L91" s="171" t="s">
        <v>75</v>
      </c>
      <c r="M91" s="163" t="s">
        <v>456</v>
      </c>
      <c r="N91" s="16">
        <v>38097453</v>
      </c>
      <c r="O91" s="16" t="s">
        <v>458</v>
      </c>
      <c r="P91" s="141" t="s">
        <v>459</v>
      </c>
    </row>
    <row r="92" spans="1:18" ht="15" hidden="1" customHeight="1">
      <c r="A92" s="320" t="s">
        <v>1326</v>
      </c>
      <c r="B92" s="171" t="s">
        <v>16</v>
      </c>
      <c r="C92" s="170" t="s">
        <v>64</v>
      </c>
      <c r="D92" s="171" t="s">
        <v>460</v>
      </c>
      <c r="E92" s="171" t="s">
        <v>461</v>
      </c>
      <c r="F92" s="171">
        <v>2024</v>
      </c>
      <c r="G92" s="224" t="s">
        <v>462</v>
      </c>
      <c r="I92" s="171" t="s">
        <v>35</v>
      </c>
      <c r="J92" s="171" t="s">
        <v>35</v>
      </c>
      <c r="K92" s="178" t="s">
        <v>463</v>
      </c>
      <c r="L92" s="173" t="s">
        <v>21</v>
      </c>
      <c r="M92" s="16" t="s">
        <v>464</v>
      </c>
      <c r="N92" s="16">
        <v>38302337</v>
      </c>
      <c r="O92" s="16" t="s">
        <v>466</v>
      </c>
      <c r="P92" s="141" t="s">
        <v>467</v>
      </c>
    </row>
    <row r="93" spans="1:18" ht="15" hidden="1" customHeight="1">
      <c r="A93" s="320" t="s">
        <v>1326</v>
      </c>
      <c r="B93" s="171" t="s">
        <v>16</v>
      </c>
      <c r="C93" s="170" t="s">
        <v>64</v>
      </c>
      <c r="D93" s="273" t="s">
        <v>468</v>
      </c>
      <c r="E93" s="274" t="s">
        <v>469</v>
      </c>
      <c r="F93" s="171">
        <v>2024</v>
      </c>
      <c r="G93" s="166" t="s">
        <v>470</v>
      </c>
      <c r="H93" s="166" t="s">
        <v>471</v>
      </c>
      <c r="I93" s="171" t="s">
        <v>35</v>
      </c>
      <c r="J93" s="171" t="s">
        <v>35</v>
      </c>
      <c r="K93" s="178">
        <v>45358</v>
      </c>
      <c r="L93" s="171" t="s">
        <v>21</v>
      </c>
      <c r="M93" s="16" t="s">
        <v>472</v>
      </c>
      <c r="N93" s="16">
        <v>38453621</v>
      </c>
      <c r="O93" s="16" t="s">
        <v>474</v>
      </c>
      <c r="P93" s="141" t="s">
        <v>475</v>
      </c>
    </row>
    <row r="94" spans="1:18" ht="15" hidden="1" customHeight="1">
      <c r="A94" s="320" t="s">
        <v>1326</v>
      </c>
      <c r="B94" s="171" t="s">
        <v>16</v>
      </c>
      <c r="C94" s="170" t="s">
        <v>17</v>
      </c>
      <c r="D94" s="171" t="s">
        <v>476</v>
      </c>
      <c r="E94" s="171" t="s">
        <v>477</v>
      </c>
      <c r="F94" s="171">
        <v>2024</v>
      </c>
      <c r="G94" s="225" t="s">
        <v>478</v>
      </c>
      <c r="H94" s="166" t="s">
        <v>479</v>
      </c>
      <c r="I94" s="171" t="s">
        <v>20</v>
      </c>
      <c r="J94" s="171" t="s">
        <v>20</v>
      </c>
      <c r="K94" s="178">
        <v>45386</v>
      </c>
      <c r="L94" s="173" t="s">
        <v>21</v>
      </c>
      <c r="M94" s="398" t="s">
        <v>480</v>
      </c>
      <c r="N94" s="16">
        <v>38573866</v>
      </c>
      <c r="O94" s="16" t="s">
        <v>482</v>
      </c>
      <c r="P94" s="141" t="s">
        <v>483</v>
      </c>
    </row>
    <row r="95" spans="1:18" ht="15" hidden="1" customHeight="1">
      <c r="A95" s="320" t="s">
        <v>1326</v>
      </c>
      <c r="B95" s="171" t="s">
        <v>16</v>
      </c>
      <c r="C95" s="208" t="s">
        <v>64</v>
      </c>
      <c r="D95" s="209" t="s">
        <v>484</v>
      </c>
      <c r="E95" s="209" t="s">
        <v>485</v>
      </c>
      <c r="F95" s="209">
        <v>2024</v>
      </c>
      <c r="G95" s="192" t="s">
        <v>486</v>
      </c>
      <c r="H95" s="192"/>
      <c r="I95" s="209" t="s">
        <v>35</v>
      </c>
      <c r="J95" s="209" t="s">
        <v>35</v>
      </c>
      <c r="K95" s="210">
        <v>45437</v>
      </c>
      <c r="L95" s="263" t="s">
        <v>21</v>
      </c>
      <c r="M95" s="28" t="s">
        <v>487</v>
      </c>
      <c r="N95" s="28">
        <v>38797629</v>
      </c>
      <c r="O95" s="405" t="s">
        <v>489</v>
      </c>
      <c r="P95" s="141" t="s">
        <v>490</v>
      </c>
      <c r="Q95" s="192"/>
      <c r="R95" s="192"/>
    </row>
    <row r="96" spans="1:18" ht="15" hidden="1" customHeight="1">
      <c r="A96" s="320" t="s">
        <v>1326</v>
      </c>
      <c r="B96" s="171" t="s">
        <v>16</v>
      </c>
      <c r="C96" s="170" t="s">
        <v>491</v>
      </c>
      <c r="D96" s="171" t="s">
        <v>492</v>
      </c>
      <c r="E96" s="171" t="s">
        <v>493</v>
      </c>
      <c r="F96" s="171">
        <v>2024</v>
      </c>
      <c r="I96" s="171" t="s">
        <v>35</v>
      </c>
      <c r="J96" s="171" t="s">
        <v>35</v>
      </c>
      <c r="K96" s="178">
        <v>45572</v>
      </c>
      <c r="L96" s="171" t="s">
        <v>21</v>
      </c>
      <c r="M96" s="148" t="s">
        <v>494</v>
      </c>
      <c r="N96" s="16">
        <v>39375497</v>
      </c>
      <c r="O96" s="47"/>
      <c r="P96" s="142" t="s">
        <v>496</v>
      </c>
    </row>
    <row r="97" spans="1:18" ht="15" hidden="1" customHeight="1">
      <c r="A97" s="320" t="s">
        <v>1326</v>
      </c>
      <c r="B97" s="171" t="s">
        <v>16</v>
      </c>
      <c r="C97" s="170" t="s">
        <v>497</v>
      </c>
      <c r="D97" s="267" t="s">
        <v>498</v>
      </c>
      <c r="E97" s="267" t="s">
        <v>499</v>
      </c>
      <c r="F97" s="179">
        <v>2024</v>
      </c>
      <c r="G97" s="166" t="s">
        <v>500</v>
      </c>
      <c r="H97" s="179" t="s">
        <v>73</v>
      </c>
      <c r="I97" s="179" t="s">
        <v>35</v>
      </c>
      <c r="J97" s="179" t="s">
        <v>35</v>
      </c>
      <c r="K97" s="164">
        <v>45624</v>
      </c>
      <c r="L97" s="179" t="s">
        <v>21</v>
      </c>
      <c r="M97" s="148" t="s">
        <v>501</v>
      </c>
      <c r="N97" s="148">
        <v>39615591</v>
      </c>
      <c r="O97" s="148" t="s">
        <v>503</v>
      </c>
      <c r="P97" s="148" t="s">
        <v>504</v>
      </c>
      <c r="Q97" s="179"/>
      <c r="R97" s="179"/>
    </row>
    <row r="98" spans="1:18" ht="15" hidden="1" customHeight="1">
      <c r="A98" s="320" t="s">
        <v>1326</v>
      </c>
      <c r="B98" s="171" t="s">
        <v>16</v>
      </c>
      <c r="C98" s="170" t="s">
        <v>505</v>
      </c>
      <c r="D98" s="179" t="s">
        <v>506</v>
      </c>
      <c r="E98" s="267" t="s">
        <v>507</v>
      </c>
      <c r="F98" s="179">
        <v>2024</v>
      </c>
      <c r="G98" s="275" t="s">
        <v>508</v>
      </c>
      <c r="H98" s="275" t="s">
        <v>509</v>
      </c>
      <c r="I98" s="179" t="s">
        <v>35</v>
      </c>
      <c r="J98" s="179" t="s">
        <v>35</v>
      </c>
      <c r="K98" s="164">
        <v>45385</v>
      </c>
      <c r="L98" s="179" t="s">
        <v>21</v>
      </c>
      <c r="M98" s="145" t="s">
        <v>510</v>
      </c>
      <c r="N98" s="16">
        <v>38286429</v>
      </c>
      <c r="O98" s="16" t="s">
        <v>512</v>
      </c>
      <c r="P98" s="142" t="s">
        <v>513</v>
      </c>
    </row>
    <row r="99" spans="1:18" ht="15" customHeight="1">
      <c r="A99" s="320" t="s">
        <v>1326</v>
      </c>
      <c r="B99" s="171" t="s">
        <v>16</v>
      </c>
      <c r="C99" s="170" t="s">
        <v>514</v>
      </c>
      <c r="D99" s="266" t="s">
        <v>515</v>
      </c>
      <c r="E99" s="181" t="s">
        <v>516</v>
      </c>
      <c r="F99" s="171">
        <v>2025</v>
      </c>
      <c r="G99" s="175" t="s">
        <v>517</v>
      </c>
      <c r="H99" s="228" t="s">
        <v>518</v>
      </c>
      <c r="I99" s="171" t="s">
        <v>35</v>
      </c>
      <c r="J99" s="171" t="s">
        <v>35</v>
      </c>
      <c r="K99" s="176" t="s">
        <v>73</v>
      </c>
      <c r="L99" s="171" t="s">
        <v>21</v>
      </c>
      <c r="M99" s="141" t="s">
        <v>519</v>
      </c>
      <c r="N99" s="25"/>
      <c r="O99" s="16"/>
      <c r="P99" s="47" t="s">
        <v>521</v>
      </c>
      <c r="Q99" s="171"/>
      <c r="R99" s="171"/>
    </row>
    <row r="100" spans="1:18" ht="15" customHeight="1">
      <c r="A100" s="320" t="s">
        <v>1326</v>
      </c>
      <c r="B100" s="171" t="s">
        <v>379</v>
      </c>
      <c r="C100" s="277" t="s">
        <v>522</v>
      </c>
      <c r="D100" s="181" t="s">
        <v>523</v>
      </c>
      <c r="E100" s="181" t="s">
        <v>524</v>
      </c>
      <c r="F100" s="171">
        <v>2025</v>
      </c>
      <c r="G100" s="175" t="s">
        <v>73</v>
      </c>
      <c r="H100" s="175" t="s">
        <v>73</v>
      </c>
      <c r="I100" s="171" t="s">
        <v>35</v>
      </c>
      <c r="J100" s="171" t="s">
        <v>35</v>
      </c>
      <c r="K100" s="176" t="s">
        <v>73</v>
      </c>
      <c r="L100" s="171" t="s">
        <v>176</v>
      </c>
      <c r="M100" s="16"/>
      <c r="N100" s="25"/>
      <c r="O100" s="16"/>
      <c r="P100" s="47" t="s">
        <v>521</v>
      </c>
      <c r="Q100" s="171"/>
      <c r="R100" s="171"/>
    </row>
    <row r="101" spans="1:18" ht="15" customHeight="1">
      <c r="A101" s="320" t="s">
        <v>1326</v>
      </c>
      <c r="B101" s="171" t="s">
        <v>16</v>
      </c>
      <c r="C101" s="170" t="s">
        <v>20</v>
      </c>
      <c r="D101" s="181" t="s">
        <v>527</v>
      </c>
      <c r="E101" s="181" t="s">
        <v>528</v>
      </c>
      <c r="F101" s="171">
        <v>2025</v>
      </c>
      <c r="G101" s="166" t="s">
        <v>73</v>
      </c>
      <c r="H101" s="166" t="s">
        <v>73</v>
      </c>
      <c r="I101" s="171" t="s">
        <v>20</v>
      </c>
      <c r="J101" s="171" t="s">
        <v>20</v>
      </c>
      <c r="K101" s="178">
        <v>45890</v>
      </c>
      <c r="L101" s="171" t="s">
        <v>21</v>
      </c>
      <c r="M101" s="220" t="s">
        <v>529</v>
      </c>
      <c r="N101" s="16"/>
      <c r="O101" s="16"/>
      <c r="P101" s="16"/>
    </row>
    <row r="102" spans="1:18" ht="15" hidden="1" customHeight="1">
      <c r="A102" s="318" t="s">
        <v>1327</v>
      </c>
      <c r="B102" s="278" t="s">
        <v>16</v>
      </c>
      <c r="C102" s="242" t="s">
        <v>531</v>
      </c>
      <c r="D102" s="278" t="s">
        <v>532</v>
      </c>
      <c r="E102" s="278" t="s">
        <v>533</v>
      </c>
      <c r="F102" s="171">
        <v>2023</v>
      </c>
      <c r="G102" s="278" t="s">
        <v>21</v>
      </c>
      <c r="H102" s="278" t="s">
        <v>534</v>
      </c>
      <c r="I102" s="9" t="s">
        <v>45</v>
      </c>
      <c r="J102" s="9" t="s">
        <v>45</v>
      </c>
      <c r="K102" s="171"/>
      <c r="L102" s="9" t="s">
        <v>21</v>
      </c>
      <c r="M102" s="9" t="s">
        <v>534</v>
      </c>
      <c r="N102" s="16">
        <v>36757854</v>
      </c>
      <c r="O102" s="16" t="s">
        <v>535</v>
      </c>
      <c r="P102" s="9"/>
      <c r="Q102" s="171"/>
    </row>
    <row r="103" spans="1:18" ht="15" hidden="1" customHeight="1">
      <c r="A103" s="318" t="s">
        <v>1327</v>
      </c>
      <c r="B103" s="278" t="s">
        <v>16</v>
      </c>
      <c r="C103" s="242" t="s">
        <v>536</v>
      </c>
      <c r="D103" s="278" t="s">
        <v>537</v>
      </c>
      <c r="E103" s="278" t="s">
        <v>538</v>
      </c>
      <c r="F103" s="171">
        <v>2023</v>
      </c>
      <c r="G103" s="278" t="s">
        <v>21</v>
      </c>
      <c r="H103" s="278" t="s">
        <v>540</v>
      </c>
      <c r="I103" s="9" t="s">
        <v>45</v>
      </c>
      <c r="J103" s="9" t="s">
        <v>45</v>
      </c>
      <c r="K103" s="171"/>
      <c r="L103" s="9" t="s">
        <v>21</v>
      </c>
      <c r="M103" s="9" t="s">
        <v>540</v>
      </c>
      <c r="N103" s="16">
        <v>36716030</v>
      </c>
      <c r="O103" s="16" t="s">
        <v>541</v>
      </c>
      <c r="P103" s="9"/>
      <c r="Q103" s="171"/>
    </row>
    <row r="104" spans="1:18" ht="15" hidden="1" customHeight="1">
      <c r="A104" s="318" t="s">
        <v>1327</v>
      </c>
      <c r="B104" s="278" t="s">
        <v>16</v>
      </c>
      <c r="C104" s="242" t="s">
        <v>542</v>
      </c>
      <c r="D104" s="278" t="s">
        <v>543</v>
      </c>
      <c r="E104" s="278" t="s">
        <v>544</v>
      </c>
      <c r="F104" s="171">
        <v>2023</v>
      </c>
      <c r="G104" s="278" t="s">
        <v>21</v>
      </c>
      <c r="H104" s="278" t="s">
        <v>546</v>
      </c>
      <c r="I104" s="105"/>
      <c r="J104" s="105"/>
      <c r="K104" s="171"/>
      <c r="L104" s="9" t="s">
        <v>21</v>
      </c>
      <c r="M104" s="9" t="s">
        <v>546</v>
      </c>
      <c r="N104" s="16">
        <v>36669521</v>
      </c>
      <c r="O104" s="16" t="s">
        <v>547</v>
      </c>
      <c r="P104" s="9"/>
      <c r="Q104" s="171"/>
    </row>
    <row r="105" spans="1:18" ht="15" hidden="1" customHeight="1">
      <c r="A105" s="318" t="s">
        <v>1327</v>
      </c>
      <c r="B105" s="278" t="s">
        <v>16</v>
      </c>
      <c r="C105" s="242" t="s">
        <v>92</v>
      </c>
      <c r="D105" s="278" t="s">
        <v>548</v>
      </c>
      <c r="E105" s="278" t="s">
        <v>549</v>
      </c>
      <c r="F105" s="171">
        <v>2023</v>
      </c>
      <c r="G105" s="278" t="s">
        <v>21</v>
      </c>
      <c r="H105" s="278" t="s">
        <v>550</v>
      </c>
      <c r="I105" s="9" t="s">
        <v>45</v>
      </c>
      <c r="J105" s="9" t="s">
        <v>45</v>
      </c>
      <c r="K105" s="171"/>
      <c r="L105" s="9" t="s">
        <v>21</v>
      </c>
      <c r="M105" s="9" t="s">
        <v>550</v>
      </c>
      <c r="N105" s="16">
        <v>37789941</v>
      </c>
      <c r="O105" s="16" t="s">
        <v>551</v>
      </c>
      <c r="P105" s="9" t="s">
        <v>552</v>
      </c>
      <c r="Q105" s="171"/>
    </row>
    <row r="106" spans="1:18" ht="15" hidden="1" customHeight="1">
      <c r="A106" s="318" t="s">
        <v>1327</v>
      </c>
      <c r="B106" s="278" t="s">
        <v>16</v>
      </c>
      <c r="C106" s="242" t="s">
        <v>553</v>
      </c>
      <c r="D106" s="278" t="s">
        <v>554</v>
      </c>
      <c r="E106" s="278" t="s">
        <v>555</v>
      </c>
      <c r="F106" s="171">
        <v>2023</v>
      </c>
      <c r="G106" s="278" t="s">
        <v>21</v>
      </c>
      <c r="H106" s="278" t="s">
        <v>556</v>
      </c>
      <c r="I106" s="9" t="s">
        <v>45</v>
      </c>
      <c r="J106" s="9" t="s">
        <v>45</v>
      </c>
      <c r="K106" s="171"/>
      <c r="L106" s="9" t="s">
        <v>21</v>
      </c>
      <c r="M106" s="9" t="s">
        <v>556</v>
      </c>
      <c r="N106" s="16">
        <v>36609120</v>
      </c>
      <c r="O106" s="16" t="s">
        <v>557</v>
      </c>
      <c r="P106" s="9"/>
      <c r="Q106" s="171"/>
    </row>
    <row r="107" spans="1:18" ht="15" hidden="1" customHeight="1">
      <c r="A107" s="318" t="s">
        <v>1327</v>
      </c>
      <c r="B107" s="278" t="s">
        <v>16</v>
      </c>
      <c r="C107" s="242" t="s">
        <v>20</v>
      </c>
      <c r="D107" s="278" t="s">
        <v>558</v>
      </c>
      <c r="E107" s="278" t="s">
        <v>559</v>
      </c>
      <c r="F107" s="171">
        <v>2023</v>
      </c>
      <c r="G107" s="278" t="s">
        <v>21</v>
      </c>
      <c r="H107" s="278" t="s">
        <v>560</v>
      </c>
      <c r="I107" s="9" t="s">
        <v>20</v>
      </c>
      <c r="J107" s="9" t="s">
        <v>20</v>
      </c>
      <c r="K107" s="171"/>
      <c r="L107" s="9" t="s">
        <v>21</v>
      </c>
      <c r="M107" s="9" t="s">
        <v>560</v>
      </c>
      <c r="N107" s="16">
        <v>36928607</v>
      </c>
      <c r="O107" s="16" t="s">
        <v>561</v>
      </c>
      <c r="P107" s="9"/>
      <c r="Q107" s="171"/>
    </row>
    <row r="108" spans="1:18" ht="15" hidden="1" customHeight="1">
      <c r="A108" s="318" t="s">
        <v>1327</v>
      </c>
      <c r="B108" s="278" t="s">
        <v>16</v>
      </c>
      <c r="C108" s="242" t="s">
        <v>562</v>
      </c>
      <c r="D108" s="279" t="s">
        <v>563</v>
      </c>
      <c r="E108" s="278" t="s">
        <v>564</v>
      </c>
      <c r="F108" s="171">
        <v>2023</v>
      </c>
      <c r="G108" s="278" t="s">
        <v>21</v>
      </c>
      <c r="H108" s="278" t="s">
        <v>565</v>
      </c>
      <c r="I108" s="9" t="s">
        <v>45</v>
      </c>
      <c r="J108" s="9" t="s">
        <v>45</v>
      </c>
      <c r="K108" s="171"/>
      <c r="L108" s="9" t="s">
        <v>21</v>
      </c>
      <c r="M108" s="9" t="s">
        <v>565</v>
      </c>
      <c r="N108" s="16">
        <v>36728080</v>
      </c>
      <c r="O108" s="16" t="s">
        <v>566</v>
      </c>
      <c r="P108" s="9"/>
      <c r="Q108" s="171"/>
    </row>
    <row r="109" spans="1:18" ht="15" hidden="1" customHeight="1">
      <c r="A109" s="318" t="s">
        <v>1327</v>
      </c>
      <c r="B109" s="278" t="s">
        <v>16</v>
      </c>
      <c r="C109" s="280" t="s">
        <v>567</v>
      </c>
      <c r="D109" s="281" t="s">
        <v>568</v>
      </c>
      <c r="E109" s="223" t="s">
        <v>569</v>
      </c>
      <c r="F109" s="173">
        <v>2023</v>
      </c>
      <c r="G109" s="223" t="s">
        <v>21</v>
      </c>
      <c r="H109" s="278" t="s">
        <v>572</v>
      </c>
      <c r="I109" s="414" t="s">
        <v>45</v>
      </c>
      <c r="J109" s="414" t="s">
        <v>45</v>
      </c>
      <c r="K109" s="171"/>
      <c r="L109" s="414" t="s">
        <v>21</v>
      </c>
      <c r="M109" s="9" t="s">
        <v>572</v>
      </c>
      <c r="N109" s="16">
        <v>36243666</v>
      </c>
      <c r="O109" s="16" t="s">
        <v>573</v>
      </c>
      <c r="P109" s="9"/>
      <c r="Q109" s="171"/>
    </row>
    <row r="110" spans="1:18" ht="15" hidden="1" customHeight="1">
      <c r="A110" s="318" t="s">
        <v>1327</v>
      </c>
      <c r="B110" s="278" t="s">
        <v>16</v>
      </c>
      <c r="C110" s="242" t="s">
        <v>574</v>
      </c>
      <c r="D110" s="278" t="s">
        <v>575</v>
      </c>
      <c r="E110" s="278" t="s">
        <v>576</v>
      </c>
      <c r="F110" s="171">
        <v>2023</v>
      </c>
      <c r="G110" s="278" t="s">
        <v>21</v>
      </c>
      <c r="H110" s="278" t="s">
        <v>580</v>
      </c>
      <c r="I110" s="414" t="s">
        <v>45</v>
      </c>
      <c r="J110" s="414" t="s">
        <v>45</v>
      </c>
      <c r="K110" s="171"/>
      <c r="L110" s="9" t="s">
        <v>21</v>
      </c>
      <c r="M110" s="9" t="s">
        <v>580</v>
      </c>
      <c r="N110" s="16">
        <v>36919846</v>
      </c>
      <c r="O110" s="16" t="s">
        <v>581</v>
      </c>
      <c r="P110" s="9" t="s">
        <v>582</v>
      </c>
      <c r="Q110" s="171"/>
    </row>
    <row r="111" spans="1:18" ht="15" hidden="1" customHeight="1">
      <c r="A111" s="318" t="s">
        <v>1327</v>
      </c>
      <c r="B111" s="278" t="s">
        <v>16</v>
      </c>
      <c r="C111" s="242" t="s">
        <v>583</v>
      </c>
      <c r="D111" s="282" t="s">
        <v>584</v>
      </c>
      <c r="E111" s="282" t="s">
        <v>585</v>
      </c>
      <c r="F111" s="171">
        <v>2023</v>
      </c>
      <c r="G111" s="278" t="s">
        <v>21</v>
      </c>
      <c r="H111" s="278" t="s">
        <v>587</v>
      </c>
      <c r="I111" s="414" t="s">
        <v>45</v>
      </c>
      <c r="J111" s="414" t="s">
        <v>45</v>
      </c>
      <c r="K111" s="171"/>
      <c r="L111" s="9" t="s">
        <v>21</v>
      </c>
      <c r="M111" s="9" t="s">
        <v>587</v>
      </c>
      <c r="N111" s="16">
        <v>37012998</v>
      </c>
      <c r="O111" s="16" t="s">
        <v>588</v>
      </c>
      <c r="P111" s="9"/>
      <c r="Q111" s="171"/>
    </row>
    <row r="112" spans="1:18" ht="15" hidden="1" customHeight="1">
      <c r="A112" s="318" t="s">
        <v>1327</v>
      </c>
      <c r="B112" s="278" t="s">
        <v>16</v>
      </c>
      <c r="C112" s="242" t="s">
        <v>64</v>
      </c>
      <c r="D112" s="278" t="s">
        <v>589</v>
      </c>
      <c r="E112" s="278" t="s">
        <v>590</v>
      </c>
      <c r="F112" s="171">
        <v>2023</v>
      </c>
      <c r="G112" s="278" t="s">
        <v>21</v>
      </c>
      <c r="H112" s="278" t="s">
        <v>591</v>
      </c>
      <c r="I112" s="414" t="s">
        <v>45</v>
      </c>
      <c r="J112" s="414" t="s">
        <v>45</v>
      </c>
      <c r="K112" s="171"/>
      <c r="L112" s="9" t="s">
        <v>21</v>
      </c>
      <c r="M112" s="9" t="s">
        <v>591</v>
      </c>
      <c r="N112" s="16">
        <v>37012118</v>
      </c>
      <c r="O112" s="16" t="s">
        <v>592</v>
      </c>
      <c r="P112" s="9" t="s">
        <v>593</v>
      </c>
      <c r="Q112" s="171"/>
    </row>
    <row r="113" spans="1:17" ht="15" hidden="1" customHeight="1">
      <c r="A113" s="318" t="s">
        <v>1327</v>
      </c>
      <c r="B113" s="278" t="s">
        <v>16</v>
      </c>
      <c r="C113" s="242" t="s">
        <v>64</v>
      </c>
      <c r="D113" s="278" t="s">
        <v>594</v>
      </c>
      <c r="E113" s="278" t="s">
        <v>595</v>
      </c>
      <c r="F113" s="171">
        <v>2023</v>
      </c>
      <c r="G113" s="278" t="s">
        <v>21</v>
      </c>
      <c r="H113" s="278" t="s">
        <v>596</v>
      </c>
      <c r="I113" s="414" t="s">
        <v>45</v>
      </c>
      <c r="J113" s="414" t="s">
        <v>45</v>
      </c>
      <c r="K113" s="171"/>
      <c r="L113" s="9" t="s">
        <v>21</v>
      </c>
      <c r="M113" s="9" t="s">
        <v>596</v>
      </c>
      <c r="N113" s="16">
        <v>36990828</v>
      </c>
      <c r="O113" s="16" t="s">
        <v>597</v>
      </c>
      <c r="P113" s="9"/>
      <c r="Q113" s="171"/>
    </row>
    <row r="114" spans="1:17" ht="15" hidden="1" customHeight="1">
      <c r="A114" s="318" t="s">
        <v>1327</v>
      </c>
      <c r="B114" s="278" t="s">
        <v>16</v>
      </c>
      <c r="C114" s="242" t="s">
        <v>583</v>
      </c>
      <c r="D114" s="278" t="s">
        <v>598</v>
      </c>
      <c r="E114" s="278" t="s">
        <v>599</v>
      </c>
      <c r="F114" s="171">
        <v>2023</v>
      </c>
      <c r="G114" s="278" t="s">
        <v>21</v>
      </c>
      <c r="H114" s="278" t="s">
        <v>600</v>
      </c>
      <c r="I114" s="414" t="s">
        <v>45</v>
      </c>
      <c r="J114" s="414" t="s">
        <v>45</v>
      </c>
      <c r="K114" s="171"/>
      <c r="L114" s="9" t="s">
        <v>21</v>
      </c>
      <c r="M114" s="9" t="s">
        <v>600</v>
      </c>
      <c r="N114" s="16">
        <v>37261891</v>
      </c>
      <c r="O114" s="16" t="s">
        <v>601</v>
      </c>
      <c r="P114" s="9" t="s">
        <v>602</v>
      </c>
      <c r="Q114" s="171"/>
    </row>
    <row r="115" spans="1:17" ht="15" hidden="1" customHeight="1">
      <c r="A115" s="318" t="s">
        <v>1327</v>
      </c>
      <c r="B115" s="278" t="s">
        <v>16</v>
      </c>
      <c r="C115" s="242" t="s">
        <v>20</v>
      </c>
      <c r="D115" s="278" t="s">
        <v>603</v>
      </c>
      <c r="E115" s="278" t="s">
        <v>604</v>
      </c>
      <c r="F115" s="171">
        <v>2023</v>
      </c>
      <c r="G115" s="278" t="s">
        <v>21</v>
      </c>
      <c r="H115" s="278" t="s">
        <v>607</v>
      </c>
      <c r="I115" s="9"/>
      <c r="J115" s="9"/>
      <c r="K115" s="171"/>
      <c r="L115" s="9" t="s">
        <v>21</v>
      </c>
      <c r="M115" s="9" t="s">
        <v>607</v>
      </c>
      <c r="N115" s="16">
        <v>37053126</v>
      </c>
      <c r="O115" s="16" t="s">
        <v>608</v>
      </c>
      <c r="P115" s="9"/>
      <c r="Q115" s="171"/>
    </row>
    <row r="116" spans="1:17" ht="15" hidden="1" customHeight="1">
      <c r="A116" s="318" t="s">
        <v>1327</v>
      </c>
      <c r="B116" s="278" t="s">
        <v>16</v>
      </c>
      <c r="C116" s="242" t="s">
        <v>609</v>
      </c>
      <c r="D116" s="278" t="s">
        <v>610</v>
      </c>
      <c r="E116" s="278" t="s">
        <v>611</v>
      </c>
      <c r="F116" s="171">
        <v>2023</v>
      </c>
      <c r="G116" s="278" t="s">
        <v>21</v>
      </c>
      <c r="H116" s="278" t="s">
        <v>613</v>
      </c>
      <c r="I116" s="9" t="s">
        <v>45</v>
      </c>
      <c r="J116" s="9" t="s">
        <v>45</v>
      </c>
      <c r="K116" s="171"/>
      <c r="L116" s="9" t="s">
        <v>21</v>
      </c>
      <c r="M116" s="9" t="s">
        <v>613</v>
      </c>
      <c r="N116" s="16">
        <v>37577260</v>
      </c>
      <c r="O116" s="16" t="s">
        <v>614</v>
      </c>
      <c r="P116" s="9" t="s">
        <v>615</v>
      </c>
      <c r="Q116" s="171"/>
    </row>
    <row r="117" spans="1:17" ht="15" hidden="1" customHeight="1">
      <c r="A117" s="318" t="s">
        <v>1327</v>
      </c>
      <c r="B117" s="278" t="s">
        <v>16</v>
      </c>
      <c r="C117" s="242" t="s">
        <v>616</v>
      </c>
      <c r="D117" s="278" t="s">
        <v>617</v>
      </c>
      <c r="E117" s="278" t="s">
        <v>618</v>
      </c>
      <c r="F117" s="171">
        <v>2023</v>
      </c>
      <c r="G117" s="278" t="s">
        <v>21</v>
      </c>
      <c r="H117" s="278" t="s">
        <v>620</v>
      </c>
      <c r="I117" s="9" t="s">
        <v>45</v>
      </c>
      <c r="J117" s="9" t="s">
        <v>45</v>
      </c>
      <c r="K117" s="171"/>
      <c r="L117" s="9" t="s">
        <v>21</v>
      </c>
      <c r="M117" s="9" t="s">
        <v>620</v>
      </c>
      <c r="N117" s="16">
        <v>37525454</v>
      </c>
      <c r="O117" s="16" t="s">
        <v>621</v>
      </c>
      <c r="P117" s="9" t="s">
        <v>622</v>
      </c>
      <c r="Q117" s="171"/>
    </row>
    <row r="118" spans="1:17" ht="15" hidden="1" customHeight="1">
      <c r="A118" s="318" t="s">
        <v>1327</v>
      </c>
      <c r="B118" s="278" t="s">
        <v>16</v>
      </c>
      <c r="C118" s="242" t="s">
        <v>623</v>
      </c>
      <c r="D118" s="278" t="s">
        <v>624</v>
      </c>
      <c r="E118" s="278" t="s">
        <v>625</v>
      </c>
      <c r="F118" s="171">
        <v>2023</v>
      </c>
      <c r="G118" s="278" t="s">
        <v>21</v>
      </c>
      <c r="H118" s="278" t="s">
        <v>627</v>
      </c>
      <c r="I118" s="9" t="s">
        <v>35</v>
      </c>
      <c r="J118" s="9" t="s">
        <v>35</v>
      </c>
      <c r="K118" s="171"/>
      <c r="L118" s="9" t="s">
        <v>21</v>
      </c>
      <c r="M118" s="9" t="s">
        <v>627</v>
      </c>
      <c r="N118" s="16">
        <v>37395695</v>
      </c>
      <c r="O118" s="16" t="s">
        <v>628</v>
      </c>
      <c r="P118" s="9"/>
      <c r="Q118" s="171"/>
    </row>
    <row r="119" spans="1:17" ht="15" hidden="1" customHeight="1">
      <c r="A119" s="318" t="s">
        <v>1327</v>
      </c>
      <c r="B119" s="278" t="s">
        <v>16</v>
      </c>
      <c r="C119" s="242" t="s">
        <v>629</v>
      </c>
      <c r="D119" s="278" t="s">
        <v>630</v>
      </c>
      <c r="E119" s="278" t="s">
        <v>631</v>
      </c>
      <c r="F119" s="171">
        <v>2023</v>
      </c>
      <c r="G119" s="278" t="s">
        <v>21</v>
      </c>
      <c r="H119" s="278" t="s">
        <v>634</v>
      </c>
      <c r="I119" s="9" t="s">
        <v>20</v>
      </c>
      <c r="J119" s="9" t="s">
        <v>20</v>
      </c>
      <c r="K119" s="171"/>
      <c r="L119" s="9" t="s">
        <v>21</v>
      </c>
      <c r="M119" s="9" t="s">
        <v>634</v>
      </c>
      <c r="N119" s="16">
        <v>37669242</v>
      </c>
      <c r="O119" s="16" t="s">
        <v>635</v>
      </c>
      <c r="P119" s="9"/>
      <c r="Q119" s="171"/>
    </row>
    <row r="120" spans="1:17" ht="15" hidden="1" customHeight="1">
      <c r="A120" s="318" t="s">
        <v>1327</v>
      </c>
      <c r="B120" s="278" t="s">
        <v>16</v>
      </c>
      <c r="C120" s="242" t="s">
        <v>17</v>
      </c>
      <c r="D120" s="278" t="s">
        <v>636</v>
      </c>
      <c r="E120" s="278" t="s">
        <v>637</v>
      </c>
      <c r="F120" s="171">
        <v>2023</v>
      </c>
      <c r="G120" s="278" t="s">
        <v>21</v>
      </c>
      <c r="H120" s="278" t="s">
        <v>639</v>
      </c>
      <c r="I120" s="9" t="s">
        <v>20</v>
      </c>
      <c r="J120" s="9" t="s">
        <v>20</v>
      </c>
      <c r="K120" s="171"/>
      <c r="L120" s="9" t="s">
        <v>21</v>
      </c>
      <c r="M120" s="9" t="s">
        <v>639</v>
      </c>
      <c r="N120" s="16" t="s">
        <v>640</v>
      </c>
      <c r="O120" s="16" t="s">
        <v>641</v>
      </c>
      <c r="P120" s="9"/>
      <c r="Q120" s="171"/>
    </row>
    <row r="121" spans="1:17" ht="15" hidden="1" customHeight="1">
      <c r="A121" s="318" t="s">
        <v>1327</v>
      </c>
      <c r="B121" s="278" t="s">
        <v>379</v>
      </c>
      <c r="C121" s="242" t="s">
        <v>64</v>
      </c>
      <c r="D121" s="278" t="s">
        <v>1328</v>
      </c>
      <c r="E121" s="278" t="s">
        <v>1329</v>
      </c>
      <c r="F121" s="171">
        <v>2024</v>
      </c>
      <c r="G121" s="278" t="s">
        <v>272</v>
      </c>
      <c r="H121" s="278"/>
      <c r="I121" s="9" t="s">
        <v>35</v>
      </c>
      <c r="J121" s="9" t="s">
        <v>35</v>
      </c>
      <c r="K121" s="171"/>
      <c r="L121" s="9" t="s">
        <v>272</v>
      </c>
      <c r="M121" s="9"/>
      <c r="N121" s="16"/>
      <c r="O121" s="16"/>
      <c r="P121" s="9" t="s">
        <v>1330</v>
      </c>
      <c r="Q121" s="171"/>
    </row>
    <row r="122" spans="1:17" ht="15" hidden="1" customHeight="1">
      <c r="A122" s="318" t="s">
        <v>1327</v>
      </c>
      <c r="B122" s="278" t="s">
        <v>16</v>
      </c>
      <c r="C122" s="242" t="s">
        <v>642</v>
      </c>
      <c r="D122" s="223" t="s">
        <v>643</v>
      </c>
      <c r="E122" s="278" t="s">
        <v>644</v>
      </c>
      <c r="F122" s="171">
        <v>2023</v>
      </c>
      <c r="G122" s="278" t="s">
        <v>21</v>
      </c>
      <c r="H122" s="278" t="s">
        <v>646</v>
      </c>
      <c r="I122" s="9" t="s">
        <v>35</v>
      </c>
      <c r="J122" s="9" t="s">
        <v>35</v>
      </c>
      <c r="K122" s="171"/>
      <c r="L122" s="9" t="s">
        <v>21</v>
      </c>
      <c r="M122" s="9" t="s">
        <v>646</v>
      </c>
      <c r="N122" s="16">
        <v>37936576</v>
      </c>
      <c r="O122" s="16" t="s">
        <v>647</v>
      </c>
      <c r="P122" s="9"/>
      <c r="Q122" s="171"/>
    </row>
    <row r="123" spans="1:17" ht="15" hidden="1" customHeight="1">
      <c r="A123" s="318" t="s">
        <v>1327</v>
      </c>
      <c r="B123" s="278" t="s">
        <v>16</v>
      </c>
      <c r="C123" s="242" t="s">
        <v>17</v>
      </c>
      <c r="D123" s="278" t="s">
        <v>648</v>
      </c>
      <c r="E123" s="278" t="s">
        <v>649</v>
      </c>
      <c r="F123" s="171">
        <v>2023</v>
      </c>
      <c r="G123" s="278" t="s">
        <v>21</v>
      </c>
      <c r="H123" s="278" t="s">
        <v>652</v>
      </c>
      <c r="I123" s="9" t="s">
        <v>20</v>
      </c>
      <c r="J123" s="9" t="s">
        <v>20</v>
      </c>
      <c r="K123" s="171"/>
      <c r="L123" s="9" t="s">
        <v>21</v>
      </c>
      <c r="M123" s="9" t="s">
        <v>652</v>
      </c>
      <c r="N123" s="16">
        <v>37943698</v>
      </c>
      <c r="O123" s="16" t="s">
        <v>653</v>
      </c>
      <c r="P123" s="9"/>
      <c r="Q123" s="171"/>
    </row>
    <row r="124" spans="1:17" ht="15" hidden="1" customHeight="1">
      <c r="A124" s="318" t="s">
        <v>1327</v>
      </c>
      <c r="B124" s="278" t="s">
        <v>16</v>
      </c>
      <c r="C124" s="242" t="s">
        <v>17</v>
      </c>
      <c r="D124" s="278" t="s">
        <v>654</v>
      </c>
      <c r="E124" s="278" t="s">
        <v>655</v>
      </c>
      <c r="F124" s="171">
        <v>2023</v>
      </c>
      <c r="G124" s="278" t="s">
        <v>21</v>
      </c>
      <c r="H124" s="278" t="s">
        <v>657</v>
      </c>
      <c r="I124" s="9" t="s">
        <v>20</v>
      </c>
      <c r="J124" s="9" t="s">
        <v>20</v>
      </c>
      <c r="K124" s="171"/>
      <c r="L124" s="9" t="s">
        <v>21</v>
      </c>
      <c r="M124" s="9" t="s">
        <v>657</v>
      </c>
      <c r="N124" s="16">
        <v>37943704</v>
      </c>
      <c r="O124" s="16" t="s">
        <v>658</v>
      </c>
      <c r="P124" s="9"/>
      <c r="Q124" s="171"/>
    </row>
    <row r="125" spans="1:17" ht="15" hidden="1" customHeight="1">
      <c r="A125" s="318" t="s">
        <v>1327</v>
      </c>
      <c r="B125" s="278" t="s">
        <v>16</v>
      </c>
      <c r="C125" s="242" t="s">
        <v>17</v>
      </c>
      <c r="D125" s="278" t="s">
        <v>659</v>
      </c>
      <c r="E125" s="278" t="s">
        <v>660</v>
      </c>
      <c r="F125" s="171">
        <v>2023</v>
      </c>
      <c r="G125" s="278" t="s">
        <v>21</v>
      </c>
      <c r="H125" s="278" t="s">
        <v>663</v>
      </c>
      <c r="I125" s="9" t="s">
        <v>20</v>
      </c>
      <c r="J125" s="9" t="s">
        <v>20</v>
      </c>
      <c r="K125" s="171"/>
      <c r="L125" s="9" t="s">
        <v>21</v>
      </c>
      <c r="M125" s="9" t="s">
        <v>663</v>
      </c>
      <c r="N125" s="16">
        <v>38127673</v>
      </c>
      <c r="O125" s="16" t="s">
        <v>664</v>
      </c>
      <c r="P125" s="9"/>
      <c r="Q125" s="171"/>
    </row>
    <row r="126" spans="1:17" ht="15" hidden="1" customHeight="1">
      <c r="A126" s="318" t="s">
        <v>1327</v>
      </c>
      <c r="B126" s="278" t="s">
        <v>16</v>
      </c>
      <c r="C126" s="242" t="s">
        <v>665</v>
      </c>
      <c r="D126" s="278" t="s">
        <v>666</v>
      </c>
      <c r="E126" s="278" t="s">
        <v>667</v>
      </c>
      <c r="F126" s="171">
        <v>2023</v>
      </c>
      <c r="G126" s="278" t="s">
        <v>21</v>
      </c>
      <c r="H126" s="278" t="s">
        <v>669</v>
      </c>
      <c r="I126" s="9" t="s">
        <v>35</v>
      </c>
      <c r="J126" s="9" t="s">
        <v>35</v>
      </c>
      <c r="K126" s="171"/>
      <c r="L126" s="9" t="s">
        <v>21</v>
      </c>
      <c r="M126" s="9" t="s">
        <v>669</v>
      </c>
      <c r="N126" s="16">
        <v>38756366</v>
      </c>
      <c r="O126" s="16" t="s">
        <v>670</v>
      </c>
      <c r="P126" s="9"/>
      <c r="Q126" s="171"/>
    </row>
    <row r="127" spans="1:17" ht="15" hidden="1" customHeight="1">
      <c r="A127" s="318" t="s">
        <v>1327</v>
      </c>
      <c r="B127" s="278" t="s">
        <v>16</v>
      </c>
      <c r="C127" s="242" t="s">
        <v>64</v>
      </c>
      <c r="D127" s="223" t="s">
        <v>1331</v>
      </c>
      <c r="E127" s="278" t="s">
        <v>672</v>
      </c>
      <c r="F127" s="171">
        <v>2024</v>
      </c>
      <c r="G127" s="278" t="s">
        <v>21</v>
      </c>
      <c r="H127" s="278" t="s">
        <v>674</v>
      </c>
      <c r="I127" s="9" t="s">
        <v>35</v>
      </c>
      <c r="J127" s="9" t="s">
        <v>35</v>
      </c>
      <c r="K127" s="171"/>
      <c r="L127" s="9" t="s">
        <v>21</v>
      </c>
      <c r="M127" s="9" t="s">
        <v>674</v>
      </c>
      <c r="N127" s="25">
        <v>38267329</v>
      </c>
      <c r="O127" s="47" t="s">
        <v>440</v>
      </c>
      <c r="P127" s="9" t="s">
        <v>675</v>
      </c>
      <c r="Q127" s="171"/>
    </row>
    <row r="128" spans="1:17" ht="15" hidden="1" customHeight="1">
      <c r="A128" s="318" t="s">
        <v>1327</v>
      </c>
      <c r="B128" s="278" t="s">
        <v>16</v>
      </c>
      <c r="C128" s="242" t="s">
        <v>64</v>
      </c>
      <c r="D128" s="223" t="s">
        <v>1332</v>
      </c>
      <c r="E128" s="227" t="s">
        <v>677</v>
      </c>
      <c r="F128" s="171">
        <v>2024</v>
      </c>
      <c r="G128" s="278" t="s">
        <v>21</v>
      </c>
      <c r="H128" s="252" t="s">
        <v>678</v>
      </c>
      <c r="I128" s="9" t="s">
        <v>35</v>
      </c>
      <c r="J128" s="9" t="s">
        <v>35</v>
      </c>
      <c r="K128" s="171"/>
      <c r="L128" s="9" t="s">
        <v>21</v>
      </c>
      <c r="M128" s="154" t="s">
        <v>678</v>
      </c>
      <c r="N128" s="16">
        <v>39198045</v>
      </c>
      <c r="O128" s="16" t="s">
        <v>679</v>
      </c>
      <c r="P128" s="415" t="s">
        <v>680</v>
      </c>
      <c r="Q128" s="171"/>
    </row>
    <row r="129" spans="1:17" ht="15" hidden="1" customHeight="1">
      <c r="A129" s="318" t="s">
        <v>1327</v>
      </c>
      <c r="B129" s="278" t="s">
        <v>16</v>
      </c>
      <c r="C129" s="242" t="s">
        <v>64</v>
      </c>
      <c r="D129" s="278" t="s">
        <v>681</v>
      </c>
      <c r="E129" s="278" t="s">
        <v>682</v>
      </c>
      <c r="F129" s="171">
        <v>2024</v>
      </c>
      <c r="G129" s="278" t="s">
        <v>21</v>
      </c>
      <c r="H129" s="278" t="s">
        <v>684</v>
      </c>
      <c r="I129" s="9" t="s">
        <v>35</v>
      </c>
      <c r="J129" s="9" t="s">
        <v>35</v>
      </c>
      <c r="K129" s="171"/>
      <c r="L129" s="9" t="s">
        <v>21</v>
      </c>
      <c r="M129" s="9" t="s">
        <v>684</v>
      </c>
      <c r="N129" s="16">
        <v>38368222</v>
      </c>
      <c r="O129" s="16" t="s">
        <v>685</v>
      </c>
      <c r="P129" s="415"/>
      <c r="Q129" s="171"/>
    </row>
    <row r="130" spans="1:17" ht="15" hidden="1" customHeight="1">
      <c r="A130" s="318" t="s">
        <v>1327</v>
      </c>
      <c r="B130" s="278" t="s">
        <v>16</v>
      </c>
      <c r="C130" s="242" t="s">
        <v>80</v>
      </c>
      <c r="D130" s="227" t="s">
        <v>686</v>
      </c>
      <c r="E130" s="227" t="s">
        <v>687</v>
      </c>
      <c r="F130" s="179"/>
      <c r="G130" s="227" t="s">
        <v>21</v>
      </c>
      <c r="H130" s="252" t="s">
        <v>688</v>
      </c>
      <c r="I130" s="409" t="s">
        <v>35</v>
      </c>
      <c r="J130" s="409" t="s">
        <v>35</v>
      </c>
      <c r="K130" s="181"/>
      <c r="L130" s="409" t="s">
        <v>21</v>
      </c>
      <c r="M130" s="154" t="s">
        <v>688</v>
      </c>
      <c r="N130" s="148">
        <v>38111108</v>
      </c>
      <c r="O130" s="148" t="s">
        <v>689</v>
      </c>
      <c r="P130" s="417"/>
      <c r="Q130" s="181"/>
    </row>
    <row r="131" spans="1:17" ht="15" hidden="1" customHeight="1">
      <c r="A131" s="318" t="s">
        <v>1327</v>
      </c>
      <c r="B131" s="278" t="s">
        <v>16</v>
      </c>
      <c r="C131" s="242" t="s">
        <v>69</v>
      </c>
      <c r="D131" s="278" t="s">
        <v>100</v>
      </c>
      <c r="E131" s="278" t="s">
        <v>101</v>
      </c>
      <c r="F131" s="171">
        <v>2023</v>
      </c>
      <c r="G131" s="278" t="s">
        <v>21</v>
      </c>
      <c r="H131" s="278" t="s">
        <v>75</v>
      </c>
      <c r="I131" s="9" t="s">
        <v>72</v>
      </c>
      <c r="J131" s="9" t="s">
        <v>72</v>
      </c>
      <c r="K131" s="171"/>
      <c r="L131" s="9" t="s">
        <v>21</v>
      </c>
      <c r="M131" s="9" t="s">
        <v>75</v>
      </c>
      <c r="N131" s="16" t="s">
        <v>75</v>
      </c>
      <c r="O131" s="16" t="s">
        <v>75</v>
      </c>
      <c r="P131" s="155" t="s">
        <v>690</v>
      </c>
      <c r="Q131" s="171"/>
    </row>
    <row r="132" spans="1:17" ht="15" hidden="1" customHeight="1">
      <c r="A132" s="318" t="s">
        <v>1327</v>
      </c>
      <c r="B132" s="278" t="s">
        <v>16</v>
      </c>
      <c r="C132" s="242" t="s">
        <v>17</v>
      </c>
      <c r="D132" s="278" t="s">
        <v>140</v>
      </c>
      <c r="E132" s="223" t="s">
        <v>141</v>
      </c>
      <c r="F132" s="171">
        <v>2023</v>
      </c>
      <c r="G132" s="278" t="s">
        <v>21</v>
      </c>
      <c r="H132" s="278" t="s">
        <v>142</v>
      </c>
      <c r="I132" s="9" t="s">
        <v>20</v>
      </c>
      <c r="J132" s="9" t="s">
        <v>20</v>
      </c>
      <c r="K132" s="171"/>
      <c r="L132" s="9" t="s">
        <v>21</v>
      </c>
      <c r="M132" s="9" t="s">
        <v>142</v>
      </c>
      <c r="N132" s="25">
        <v>37768879</v>
      </c>
      <c r="O132" s="16" t="s">
        <v>143</v>
      </c>
      <c r="P132" s="9"/>
      <c r="Q132" s="171"/>
    </row>
    <row r="133" spans="1:17" ht="15" hidden="1" customHeight="1">
      <c r="A133" s="318" t="s">
        <v>1327</v>
      </c>
      <c r="B133" s="278" t="s">
        <v>16</v>
      </c>
      <c r="C133" s="242" t="s">
        <v>64</v>
      </c>
      <c r="D133" s="278" t="s">
        <v>696</v>
      </c>
      <c r="E133" s="278" t="s">
        <v>697</v>
      </c>
      <c r="F133" s="171">
        <v>2024</v>
      </c>
      <c r="G133" s="278" t="s">
        <v>21</v>
      </c>
      <c r="H133" s="283" t="s">
        <v>699</v>
      </c>
      <c r="I133" s="9" t="s">
        <v>35</v>
      </c>
      <c r="J133" s="9" t="s">
        <v>35</v>
      </c>
      <c r="K133" s="171"/>
      <c r="L133" s="9" t="s">
        <v>21</v>
      </c>
      <c r="M133" s="418" t="s">
        <v>699</v>
      </c>
      <c r="N133" s="364">
        <v>38418339</v>
      </c>
      <c r="O133" s="47" t="s">
        <v>440</v>
      </c>
      <c r="P133" s="9" t="s">
        <v>700</v>
      </c>
      <c r="Q133" s="171"/>
    </row>
    <row r="134" spans="1:17" ht="15" hidden="1" customHeight="1">
      <c r="A134" s="318" t="s">
        <v>1327</v>
      </c>
      <c r="B134" s="278" t="s">
        <v>16</v>
      </c>
      <c r="C134" s="242" t="s">
        <v>701</v>
      </c>
      <c r="D134" s="226" t="s">
        <v>702</v>
      </c>
      <c r="E134" s="226" t="s">
        <v>703</v>
      </c>
      <c r="F134" s="171">
        <v>2024</v>
      </c>
      <c r="G134" s="278" t="s">
        <v>21</v>
      </c>
      <c r="H134" s="278" t="s">
        <v>704</v>
      </c>
      <c r="I134" s="9" t="s">
        <v>35</v>
      </c>
      <c r="J134" s="9" t="s">
        <v>35</v>
      </c>
      <c r="K134" s="171"/>
      <c r="L134" s="9" t="s">
        <v>21</v>
      </c>
      <c r="M134" s="9" t="s">
        <v>704</v>
      </c>
      <c r="N134" s="16">
        <v>38423818</v>
      </c>
      <c r="O134" s="16" t="s">
        <v>705</v>
      </c>
      <c r="P134" s="9" t="s">
        <v>706</v>
      </c>
      <c r="Q134" s="171"/>
    </row>
    <row r="135" spans="1:17" ht="15" hidden="1" customHeight="1">
      <c r="A135" s="318" t="s">
        <v>1327</v>
      </c>
      <c r="B135" s="278" t="s">
        <v>16</v>
      </c>
      <c r="C135" s="242" t="s">
        <v>80</v>
      </c>
      <c r="D135" s="278" t="s">
        <v>707</v>
      </c>
      <c r="E135" s="278" t="s">
        <v>708</v>
      </c>
      <c r="F135" s="171">
        <v>2024</v>
      </c>
      <c r="G135" s="278" t="s">
        <v>21</v>
      </c>
      <c r="H135" s="278" t="s">
        <v>709</v>
      </c>
      <c r="I135" s="9" t="s">
        <v>35</v>
      </c>
      <c r="J135" s="9" t="s">
        <v>35</v>
      </c>
      <c r="K135" s="171"/>
      <c r="L135" s="9" t="s">
        <v>21</v>
      </c>
      <c r="M135" s="9" t="s">
        <v>709</v>
      </c>
      <c r="N135" s="16">
        <v>38504465</v>
      </c>
      <c r="O135" s="16" t="s">
        <v>710</v>
      </c>
      <c r="P135" s="9" t="s">
        <v>711</v>
      </c>
      <c r="Q135" s="171"/>
    </row>
    <row r="136" spans="1:17" ht="15" hidden="1" customHeight="1">
      <c r="A136" s="318" t="s">
        <v>1327</v>
      </c>
      <c r="B136" s="278" t="s">
        <v>16</v>
      </c>
      <c r="C136" s="242" t="s">
        <v>154</v>
      </c>
      <c r="D136" s="278" t="s">
        <v>712</v>
      </c>
      <c r="E136" s="278" t="s">
        <v>713</v>
      </c>
      <c r="F136" s="171">
        <v>2024</v>
      </c>
      <c r="G136" s="278" t="s">
        <v>21</v>
      </c>
      <c r="H136" s="253" t="s">
        <v>715</v>
      </c>
      <c r="I136" s="9" t="s">
        <v>35</v>
      </c>
      <c r="J136" s="9" t="s">
        <v>35</v>
      </c>
      <c r="K136" s="171"/>
      <c r="L136" s="9" t="s">
        <v>21</v>
      </c>
      <c r="M136" s="155" t="s">
        <v>715</v>
      </c>
      <c r="N136" s="16">
        <v>38493896</v>
      </c>
      <c r="O136" s="152" t="s">
        <v>716</v>
      </c>
      <c r="P136" s="9"/>
      <c r="Q136" s="171"/>
    </row>
    <row r="137" spans="1:17" ht="15" hidden="1" customHeight="1">
      <c r="A137" s="318" t="s">
        <v>1327</v>
      </c>
      <c r="B137" s="278" t="s">
        <v>16</v>
      </c>
      <c r="C137" s="242" t="s">
        <v>219</v>
      </c>
      <c r="D137" s="278" t="s">
        <v>220</v>
      </c>
      <c r="E137" s="278" t="s">
        <v>221</v>
      </c>
      <c r="F137" s="171">
        <v>2024</v>
      </c>
      <c r="G137" s="278" t="s">
        <v>21</v>
      </c>
      <c r="H137" s="278" t="s">
        <v>223</v>
      </c>
      <c r="I137" s="9" t="s">
        <v>45</v>
      </c>
      <c r="J137" s="9" t="s">
        <v>45</v>
      </c>
      <c r="K137" s="171"/>
      <c r="L137" s="9" t="s">
        <v>21</v>
      </c>
      <c r="M137" s="9" t="s">
        <v>223</v>
      </c>
      <c r="N137" s="16">
        <v>38950301</v>
      </c>
      <c r="O137" s="148" t="s">
        <v>224</v>
      </c>
      <c r="P137" s="9"/>
      <c r="Q137" s="171"/>
    </row>
    <row r="138" spans="1:17" ht="15" hidden="1" customHeight="1">
      <c r="A138" s="318" t="s">
        <v>1327</v>
      </c>
      <c r="B138" s="278" t="s">
        <v>16</v>
      </c>
      <c r="C138" s="242" t="s">
        <v>717</v>
      </c>
      <c r="D138" s="223" t="s">
        <v>1333</v>
      </c>
      <c r="E138" s="278" t="s">
        <v>719</v>
      </c>
      <c r="F138" s="171">
        <v>2024</v>
      </c>
      <c r="G138" s="278" t="s">
        <v>21</v>
      </c>
      <c r="H138" s="284" t="s">
        <v>720</v>
      </c>
      <c r="I138" s="9" t="s">
        <v>45</v>
      </c>
      <c r="J138" s="9" t="s">
        <v>45</v>
      </c>
      <c r="K138" s="171"/>
      <c r="L138" s="9" t="s">
        <v>21</v>
      </c>
      <c r="M138" s="156" t="s">
        <v>720</v>
      </c>
      <c r="N138" s="16">
        <v>38954648</v>
      </c>
      <c r="O138" s="16" t="s">
        <v>721</v>
      </c>
      <c r="P138" s="9" t="s">
        <v>722</v>
      </c>
      <c r="Q138" s="171"/>
    </row>
    <row r="139" spans="1:17" ht="15" hidden="1" customHeight="1">
      <c r="A139" s="318" t="s">
        <v>1327</v>
      </c>
      <c r="B139" s="278" t="s">
        <v>16</v>
      </c>
      <c r="C139" s="242" t="s">
        <v>64</v>
      </c>
      <c r="D139" s="223" t="s">
        <v>1334</v>
      </c>
      <c r="E139" s="278" t="s">
        <v>724</v>
      </c>
      <c r="F139" s="171">
        <v>2024</v>
      </c>
      <c r="G139" s="278" t="s">
        <v>21</v>
      </c>
      <c r="H139" s="284" t="s">
        <v>725</v>
      </c>
      <c r="I139" s="9" t="s">
        <v>45</v>
      </c>
      <c r="J139" s="9" t="s">
        <v>45</v>
      </c>
      <c r="K139" s="171"/>
      <c r="L139" s="9" t="s">
        <v>21</v>
      </c>
      <c r="M139" s="156" t="s">
        <v>725</v>
      </c>
      <c r="N139" s="16">
        <v>38926071</v>
      </c>
      <c r="O139" s="16" t="s">
        <v>726</v>
      </c>
      <c r="P139" s="9" t="s">
        <v>711</v>
      </c>
      <c r="Q139" s="171"/>
    </row>
    <row r="140" spans="1:17" ht="15" hidden="1" customHeight="1">
      <c r="A140" s="318" t="s">
        <v>1327</v>
      </c>
      <c r="B140" s="278" t="s">
        <v>16</v>
      </c>
      <c r="C140" s="242" t="s">
        <v>701</v>
      </c>
      <c r="D140" s="223" t="s">
        <v>1335</v>
      </c>
      <c r="E140" s="278" t="s">
        <v>728</v>
      </c>
      <c r="F140" s="171">
        <v>2024</v>
      </c>
      <c r="G140" s="278" t="s">
        <v>21</v>
      </c>
      <c r="H140" s="253" t="s">
        <v>729</v>
      </c>
      <c r="I140" s="9" t="s">
        <v>45</v>
      </c>
      <c r="J140" s="9" t="s">
        <v>45</v>
      </c>
      <c r="K140" s="171"/>
      <c r="L140" s="9" t="s">
        <v>21</v>
      </c>
      <c r="M140" s="155" t="s">
        <v>729</v>
      </c>
      <c r="N140" s="16">
        <v>38839517</v>
      </c>
      <c r="O140" s="16" t="s">
        <v>730</v>
      </c>
      <c r="P140" s="9" t="s">
        <v>711</v>
      </c>
      <c r="Q140" s="171"/>
    </row>
    <row r="141" spans="1:17" ht="15" hidden="1" customHeight="1">
      <c r="A141" s="318" t="s">
        <v>1327</v>
      </c>
      <c r="B141" s="278" t="s">
        <v>16</v>
      </c>
      <c r="C141" s="242" t="s">
        <v>206</v>
      </c>
      <c r="D141" s="223" t="s">
        <v>1313</v>
      </c>
      <c r="E141" s="278" t="s">
        <v>208</v>
      </c>
      <c r="F141" s="171">
        <v>2024</v>
      </c>
      <c r="G141" s="278" t="s">
        <v>21</v>
      </c>
      <c r="H141" s="276" t="s">
        <v>732</v>
      </c>
      <c r="I141" s="9" t="s">
        <v>45</v>
      </c>
      <c r="J141" s="9" t="s">
        <v>45</v>
      </c>
      <c r="K141" s="171"/>
      <c r="L141" s="9" t="s">
        <v>21</v>
      </c>
      <c r="M141" s="420" t="s">
        <v>732</v>
      </c>
      <c r="N141" s="145">
        <v>38793746</v>
      </c>
      <c r="O141" s="25" t="s">
        <v>733</v>
      </c>
      <c r="P141" s="415"/>
      <c r="Q141" s="171"/>
    </row>
    <row r="142" spans="1:17" ht="15" hidden="1" customHeight="1">
      <c r="A142" s="318" t="s">
        <v>1327</v>
      </c>
      <c r="B142" s="278" t="s">
        <v>16</v>
      </c>
      <c r="C142" s="285" t="s">
        <v>734</v>
      </c>
      <c r="D142" s="286" t="s">
        <v>735</v>
      </c>
      <c r="E142" s="286" t="s">
        <v>736</v>
      </c>
      <c r="F142" s="287">
        <v>2023</v>
      </c>
      <c r="G142" s="286" t="s">
        <v>21</v>
      </c>
      <c r="H142" s="276" t="s">
        <v>738</v>
      </c>
      <c r="I142" s="424" t="s">
        <v>45</v>
      </c>
      <c r="J142" s="424" t="s">
        <v>45</v>
      </c>
      <c r="K142" s="230"/>
      <c r="L142" s="422" t="s">
        <v>21</v>
      </c>
      <c r="M142" s="420" t="s">
        <v>738</v>
      </c>
      <c r="N142" s="423">
        <v>38113241</v>
      </c>
      <c r="O142" s="423" t="s">
        <v>739</v>
      </c>
      <c r="P142" s="426"/>
      <c r="Q142" s="230"/>
    </row>
    <row r="143" spans="1:17" ht="15" hidden="1" customHeight="1">
      <c r="A143" s="318" t="s">
        <v>1327</v>
      </c>
      <c r="B143" s="278" t="s">
        <v>16</v>
      </c>
      <c r="C143" s="285" t="s">
        <v>740</v>
      </c>
      <c r="D143" s="286" t="s">
        <v>741</v>
      </c>
      <c r="E143" s="286" t="s">
        <v>742</v>
      </c>
      <c r="F143" s="287">
        <v>2024</v>
      </c>
      <c r="G143" s="286" t="s">
        <v>21</v>
      </c>
      <c r="H143" s="276" t="s">
        <v>744</v>
      </c>
      <c r="I143" s="424" t="s">
        <v>45</v>
      </c>
      <c r="J143" s="424" t="s">
        <v>45</v>
      </c>
      <c r="K143" s="288"/>
      <c r="L143" s="422" t="s">
        <v>21</v>
      </c>
      <c r="M143" s="420" t="s">
        <v>744</v>
      </c>
      <c r="N143" s="423">
        <v>37678261</v>
      </c>
      <c r="O143" s="423" t="s">
        <v>745</v>
      </c>
      <c r="P143" s="426"/>
      <c r="Q143" s="230"/>
    </row>
    <row r="144" spans="1:17" ht="15" hidden="1" customHeight="1">
      <c r="A144" s="318" t="s">
        <v>1327</v>
      </c>
      <c r="B144" s="278" t="s">
        <v>16</v>
      </c>
      <c r="C144" s="285" t="s">
        <v>64</v>
      </c>
      <c r="D144" s="286" t="s">
        <v>746</v>
      </c>
      <c r="E144" s="286" t="s">
        <v>747</v>
      </c>
      <c r="F144" s="287">
        <v>2024</v>
      </c>
      <c r="G144" s="286" t="s">
        <v>21</v>
      </c>
      <c r="H144" s="276" t="s">
        <v>748</v>
      </c>
      <c r="I144" s="424" t="s">
        <v>45</v>
      </c>
      <c r="J144" s="424" t="s">
        <v>45</v>
      </c>
      <c r="K144" s="230"/>
      <c r="L144" s="422" t="s">
        <v>21</v>
      </c>
      <c r="M144" s="420" t="s">
        <v>748</v>
      </c>
      <c r="N144" s="423">
        <v>38429152</v>
      </c>
      <c r="O144" s="425" t="s">
        <v>440</v>
      </c>
      <c r="P144" s="426"/>
      <c r="Q144" s="230"/>
    </row>
    <row r="145" spans="1:17" ht="15" hidden="1" customHeight="1">
      <c r="A145" s="318" t="s">
        <v>1327</v>
      </c>
      <c r="B145" s="278" t="s">
        <v>16</v>
      </c>
      <c r="C145" s="285" t="s">
        <v>20</v>
      </c>
      <c r="D145" s="286" t="s">
        <v>749</v>
      </c>
      <c r="E145" s="286" t="s">
        <v>750</v>
      </c>
      <c r="F145" s="287">
        <v>2024</v>
      </c>
      <c r="G145" s="286" t="s">
        <v>21</v>
      </c>
      <c r="H145" s="276" t="s">
        <v>753</v>
      </c>
      <c r="I145" s="422" t="s">
        <v>45</v>
      </c>
      <c r="J145" s="422" t="s">
        <v>45</v>
      </c>
      <c r="K145" s="230"/>
      <c r="L145" s="422" t="s">
        <v>21</v>
      </c>
      <c r="M145" s="420" t="s">
        <v>753</v>
      </c>
      <c r="N145" s="148">
        <v>38781111</v>
      </c>
      <c r="O145" s="148" t="s">
        <v>754</v>
      </c>
      <c r="P145" s="426"/>
      <c r="Q145" s="230"/>
    </row>
    <row r="146" spans="1:17" ht="15" hidden="1" customHeight="1">
      <c r="A146" s="318" t="s">
        <v>1327</v>
      </c>
      <c r="B146" s="278" t="s">
        <v>16</v>
      </c>
      <c r="C146" s="242" t="s">
        <v>64</v>
      </c>
      <c r="D146" s="223" t="s">
        <v>1332</v>
      </c>
      <c r="E146" s="227" t="s">
        <v>677</v>
      </c>
      <c r="F146" s="171">
        <v>2024</v>
      </c>
      <c r="G146" s="278" t="s">
        <v>21</v>
      </c>
      <c r="H146" s="252" t="s">
        <v>678</v>
      </c>
      <c r="I146" s="9" t="s">
        <v>35</v>
      </c>
      <c r="J146" s="9" t="s">
        <v>35</v>
      </c>
      <c r="K146" s="171"/>
      <c r="L146" s="9" t="s">
        <v>21</v>
      </c>
      <c r="M146" s="154" t="s">
        <v>678</v>
      </c>
      <c r="N146" s="16">
        <v>39198045</v>
      </c>
      <c r="O146" s="16" t="s">
        <v>755</v>
      </c>
      <c r="P146" s="9" t="s">
        <v>680</v>
      </c>
      <c r="Q146" s="171"/>
    </row>
    <row r="147" spans="1:17" ht="15" hidden="1" customHeight="1">
      <c r="A147" s="318" t="s">
        <v>1327</v>
      </c>
      <c r="B147" s="278" t="s">
        <v>16</v>
      </c>
      <c r="C147" s="285" t="s">
        <v>64</v>
      </c>
      <c r="D147" s="286" t="s">
        <v>756</v>
      </c>
      <c r="E147" s="286" t="s">
        <v>757</v>
      </c>
      <c r="F147" s="289">
        <v>2024</v>
      </c>
      <c r="G147" s="281" t="s">
        <v>21</v>
      </c>
      <c r="H147" s="281" t="s">
        <v>758</v>
      </c>
      <c r="I147" s="413" t="s">
        <v>35</v>
      </c>
      <c r="J147" s="413" t="s">
        <v>35</v>
      </c>
      <c r="K147" s="289"/>
      <c r="L147" s="413" t="s">
        <v>21</v>
      </c>
      <c r="M147" s="413" t="s">
        <v>758</v>
      </c>
      <c r="N147" s="58">
        <v>38594121</v>
      </c>
      <c r="O147" s="423" t="s">
        <v>759</v>
      </c>
      <c r="P147" s="413" t="s">
        <v>711</v>
      </c>
      <c r="Q147" s="289"/>
    </row>
    <row r="148" spans="1:17" ht="15" hidden="1" customHeight="1">
      <c r="A148" s="318" t="s">
        <v>1327</v>
      </c>
      <c r="B148" s="278" t="s">
        <v>16</v>
      </c>
      <c r="C148" s="290" t="s">
        <v>760</v>
      </c>
      <c r="D148" s="226" t="s">
        <v>761</v>
      </c>
      <c r="E148" s="291" t="s">
        <v>762</v>
      </c>
      <c r="F148" s="257">
        <v>2024</v>
      </c>
      <c r="G148" s="291" t="s">
        <v>21</v>
      </c>
      <c r="H148" s="291" t="s">
        <v>197</v>
      </c>
      <c r="I148" s="429" t="s">
        <v>35</v>
      </c>
      <c r="J148" s="429" t="s">
        <v>35</v>
      </c>
      <c r="K148" s="171"/>
      <c r="L148" s="429" t="s">
        <v>21</v>
      </c>
      <c r="M148" s="429" t="s">
        <v>197</v>
      </c>
      <c r="N148" s="27">
        <v>38832672</v>
      </c>
      <c r="O148" s="27" t="s">
        <v>763</v>
      </c>
      <c r="P148" s="9"/>
      <c r="Q148" s="171"/>
    </row>
    <row r="149" spans="1:17" ht="15" hidden="1" customHeight="1">
      <c r="A149" s="318" t="s">
        <v>1327</v>
      </c>
      <c r="B149" s="278" t="s">
        <v>16</v>
      </c>
      <c r="C149" s="242" t="s">
        <v>126</v>
      </c>
      <c r="D149" s="292" t="s">
        <v>764</v>
      </c>
      <c r="E149" s="292" t="s">
        <v>765</v>
      </c>
      <c r="F149" s="171">
        <v>2024</v>
      </c>
      <c r="G149" s="278" t="s">
        <v>21</v>
      </c>
      <c r="H149" s="253" t="s">
        <v>768</v>
      </c>
      <c r="I149" s="9" t="s">
        <v>35</v>
      </c>
      <c r="J149" s="9" t="s">
        <v>35</v>
      </c>
      <c r="K149" s="278"/>
      <c r="L149" s="9" t="s">
        <v>21</v>
      </c>
      <c r="M149" s="155" t="s">
        <v>768</v>
      </c>
      <c r="N149" s="16">
        <v>39582316</v>
      </c>
      <c r="O149" s="47" t="s">
        <v>440</v>
      </c>
      <c r="P149" s="158" t="s">
        <v>767</v>
      </c>
      <c r="Q149" s="278"/>
    </row>
    <row r="150" spans="1:17" ht="15" hidden="1" customHeight="1">
      <c r="A150" s="318" t="s">
        <v>1327</v>
      </c>
      <c r="B150" s="278" t="s">
        <v>16</v>
      </c>
      <c r="C150" s="242" t="s">
        <v>126</v>
      </c>
      <c r="D150" s="226" t="s">
        <v>769</v>
      </c>
      <c r="E150" s="226" t="s">
        <v>770</v>
      </c>
      <c r="F150" s="171">
        <v>2024</v>
      </c>
      <c r="G150" s="278" t="s">
        <v>21</v>
      </c>
      <c r="H150" s="278" t="s">
        <v>772</v>
      </c>
      <c r="I150" s="9" t="s">
        <v>35</v>
      </c>
      <c r="J150" s="9" t="s">
        <v>35</v>
      </c>
      <c r="K150" s="278"/>
      <c r="L150" s="9" t="s">
        <v>21</v>
      </c>
      <c r="M150" s="9" t="s">
        <v>772</v>
      </c>
      <c r="N150" s="16">
        <v>39582303</v>
      </c>
      <c r="O150" s="47" t="s">
        <v>440</v>
      </c>
      <c r="P150" s="158" t="s">
        <v>771</v>
      </c>
      <c r="Q150" s="278"/>
    </row>
    <row r="151" spans="1:17" ht="15" hidden="1" customHeight="1">
      <c r="A151" s="318" t="s">
        <v>1327</v>
      </c>
      <c r="B151" s="278" t="s">
        <v>16</v>
      </c>
      <c r="C151" s="242" t="s">
        <v>64</v>
      </c>
      <c r="D151" s="292" t="s">
        <v>773</v>
      </c>
      <c r="E151" s="292" t="s">
        <v>774</v>
      </c>
      <c r="F151" s="171">
        <v>2024</v>
      </c>
      <c r="G151" s="278" t="s">
        <v>21</v>
      </c>
      <c r="H151" s="278" t="s">
        <v>775</v>
      </c>
      <c r="I151" s="9" t="s">
        <v>35</v>
      </c>
      <c r="J151" s="9" t="s">
        <v>35</v>
      </c>
      <c r="K151" s="278"/>
      <c r="L151" s="9" t="s">
        <v>21</v>
      </c>
      <c r="M151" s="9" t="s">
        <v>775</v>
      </c>
      <c r="N151" s="16">
        <v>39232401</v>
      </c>
      <c r="O151" s="47" t="s">
        <v>440</v>
      </c>
      <c r="P151" s="9"/>
      <c r="Q151" s="278"/>
    </row>
    <row r="152" spans="1:17" ht="15" hidden="1" customHeight="1">
      <c r="A152" s="318" t="s">
        <v>1327</v>
      </c>
      <c r="B152" s="278" t="s">
        <v>16</v>
      </c>
      <c r="C152" s="242" t="s">
        <v>64</v>
      </c>
      <c r="D152" s="226" t="s">
        <v>777</v>
      </c>
      <c r="E152" s="226" t="s">
        <v>778</v>
      </c>
      <c r="F152" s="171">
        <v>2024</v>
      </c>
      <c r="G152" s="278" t="s">
        <v>21</v>
      </c>
      <c r="H152" s="278" t="s">
        <v>779</v>
      </c>
      <c r="I152" s="9" t="s">
        <v>35</v>
      </c>
      <c r="J152" s="9" t="s">
        <v>35</v>
      </c>
      <c r="K152" s="278"/>
      <c r="L152" s="9" t="s">
        <v>21</v>
      </c>
      <c r="M152" s="9" t="s">
        <v>779</v>
      </c>
      <c r="N152" s="16">
        <v>39241353</v>
      </c>
      <c r="O152" s="16" t="s">
        <v>780</v>
      </c>
      <c r="P152" s="9"/>
      <c r="Q152" s="278"/>
    </row>
    <row r="153" spans="1:17" ht="15" hidden="1" customHeight="1">
      <c r="A153" s="318" t="s">
        <v>1327</v>
      </c>
      <c r="B153" s="278" t="s">
        <v>16</v>
      </c>
      <c r="C153" s="242" t="s">
        <v>64</v>
      </c>
      <c r="D153" s="226" t="s">
        <v>781</v>
      </c>
      <c r="E153" s="278" t="s">
        <v>275</v>
      </c>
      <c r="F153" s="171">
        <v>2024</v>
      </c>
      <c r="G153" s="294" t="s">
        <v>21</v>
      </c>
      <c r="H153" s="278" t="s">
        <v>782</v>
      </c>
      <c r="I153" s="9" t="s">
        <v>35</v>
      </c>
      <c r="J153" s="9" t="s">
        <v>35</v>
      </c>
      <c r="K153" s="171"/>
      <c r="L153" s="434" t="s">
        <v>21</v>
      </c>
      <c r="M153" s="9" t="s">
        <v>782</v>
      </c>
      <c r="N153" s="16">
        <v>39368124</v>
      </c>
      <c r="O153" s="435" t="s">
        <v>783</v>
      </c>
      <c r="P153" s="158" t="s">
        <v>280</v>
      </c>
      <c r="Q153" s="171"/>
    </row>
    <row r="154" spans="1:17" ht="15" hidden="1" customHeight="1">
      <c r="A154" s="318" t="s">
        <v>1327</v>
      </c>
      <c r="B154" s="278" t="s">
        <v>16</v>
      </c>
      <c r="C154" s="242" t="s">
        <v>20</v>
      </c>
      <c r="D154" s="278" t="s">
        <v>784</v>
      </c>
      <c r="E154" s="278" t="s">
        <v>785</v>
      </c>
      <c r="F154" s="171">
        <v>2024</v>
      </c>
      <c r="G154" s="278" t="s">
        <v>21</v>
      </c>
      <c r="H154" s="278" t="s">
        <v>788</v>
      </c>
      <c r="I154" s="9" t="s">
        <v>20</v>
      </c>
      <c r="J154" s="9" t="s">
        <v>20</v>
      </c>
      <c r="K154" s="171"/>
      <c r="L154" s="9" t="s">
        <v>21</v>
      </c>
      <c r="M154" s="9" t="s">
        <v>788</v>
      </c>
      <c r="N154" s="16">
        <v>39116024</v>
      </c>
      <c r="O154" s="16" t="s">
        <v>789</v>
      </c>
      <c r="P154" s="158" t="s">
        <v>787</v>
      </c>
      <c r="Q154" s="171"/>
    </row>
    <row r="155" spans="1:17" ht="15" hidden="1" customHeight="1">
      <c r="A155" s="318" t="s">
        <v>1327</v>
      </c>
      <c r="B155" s="278" t="s">
        <v>16</v>
      </c>
      <c r="C155" s="242" t="s">
        <v>20</v>
      </c>
      <c r="D155" s="278" t="s">
        <v>790</v>
      </c>
      <c r="E155" s="278" t="s">
        <v>791</v>
      </c>
      <c r="F155" s="171">
        <v>2024</v>
      </c>
      <c r="G155" s="278" t="s">
        <v>21</v>
      </c>
      <c r="H155" s="278" t="s">
        <v>794</v>
      </c>
      <c r="I155" s="9" t="s">
        <v>20</v>
      </c>
      <c r="J155" s="9" t="s">
        <v>20</v>
      </c>
      <c r="K155" s="171"/>
      <c r="L155" s="9" t="s">
        <v>21</v>
      </c>
      <c r="M155" s="9" t="s">
        <v>794</v>
      </c>
      <c r="N155" s="16">
        <v>39264843</v>
      </c>
      <c r="O155" s="16" t="s">
        <v>795</v>
      </c>
      <c r="P155" s="155" t="s">
        <v>793</v>
      </c>
      <c r="Q155" s="171"/>
    </row>
    <row r="156" spans="1:17" ht="15" hidden="1" customHeight="1">
      <c r="A156" s="318" t="s">
        <v>1327</v>
      </c>
      <c r="B156" s="278" t="s">
        <v>16</v>
      </c>
      <c r="C156" s="242" t="s">
        <v>796</v>
      </c>
      <c r="D156" s="278" t="s">
        <v>797</v>
      </c>
      <c r="E156" s="278" t="s">
        <v>798</v>
      </c>
      <c r="F156" s="171">
        <v>2024</v>
      </c>
      <c r="G156" s="278" t="s">
        <v>21</v>
      </c>
      <c r="H156" s="253" t="s">
        <v>799</v>
      </c>
      <c r="I156" s="9" t="s">
        <v>72</v>
      </c>
      <c r="J156" s="9" t="s">
        <v>72</v>
      </c>
      <c r="K156" s="171"/>
      <c r="L156" s="9" t="s">
        <v>21</v>
      </c>
      <c r="M156" s="155" t="s">
        <v>799</v>
      </c>
      <c r="N156" s="16"/>
      <c r="O156" s="16"/>
      <c r="P156" s="9"/>
      <c r="Q156" s="171"/>
    </row>
    <row r="157" spans="1:17" ht="15" customHeight="1">
      <c r="A157" s="318" t="s">
        <v>1327</v>
      </c>
      <c r="B157" s="278" t="s">
        <v>16</v>
      </c>
      <c r="C157" s="242" t="s">
        <v>64</v>
      </c>
      <c r="D157" s="278" t="s">
        <v>1336</v>
      </c>
      <c r="E157" s="278" t="s">
        <v>1337</v>
      </c>
      <c r="F157" s="171">
        <v>2025</v>
      </c>
      <c r="G157" s="278" t="s">
        <v>21</v>
      </c>
      <c r="H157" s="253" t="s">
        <v>312</v>
      </c>
      <c r="I157" s="9" t="s">
        <v>35</v>
      </c>
      <c r="J157" s="9" t="s">
        <v>35</v>
      </c>
      <c r="K157" s="171"/>
      <c r="L157" s="9" t="s">
        <v>21</v>
      </c>
      <c r="M157" s="155" t="s">
        <v>312</v>
      </c>
      <c r="N157" s="16">
        <v>39615345</v>
      </c>
      <c r="O157" s="16" t="s">
        <v>313</v>
      </c>
      <c r="P157" s="105" t="s">
        <v>1338</v>
      </c>
      <c r="Q157" s="171"/>
    </row>
    <row r="158" spans="1:17" ht="15" customHeight="1">
      <c r="A158" s="318" t="s">
        <v>1327</v>
      </c>
      <c r="B158" s="278" t="s">
        <v>16</v>
      </c>
      <c r="C158" s="242" t="s">
        <v>64</v>
      </c>
      <c r="D158" s="226" t="s">
        <v>800</v>
      </c>
      <c r="E158" s="295" t="s">
        <v>801</v>
      </c>
      <c r="F158" s="171">
        <v>2025</v>
      </c>
      <c r="G158" s="278" t="s">
        <v>21</v>
      </c>
      <c r="H158" s="293" t="s">
        <v>803</v>
      </c>
      <c r="I158" s="9" t="s">
        <v>35</v>
      </c>
      <c r="J158" s="9" t="s">
        <v>35</v>
      </c>
      <c r="K158" s="171"/>
      <c r="L158" s="9" t="s">
        <v>21</v>
      </c>
      <c r="M158" s="158" t="s">
        <v>803</v>
      </c>
      <c r="N158" s="16">
        <v>39754832</v>
      </c>
      <c r="O158" s="16" t="s">
        <v>804</v>
      </c>
      <c r="P158" s="9"/>
      <c r="Q158" s="171"/>
    </row>
    <row r="159" spans="1:17" ht="15" customHeight="1">
      <c r="A159" s="318" t="s">
        <v>1327</v>
      </c>
      <c r="B159" s="278" t="s">
        <v>16</v>
      </c>
      <c r="C159" s="242" t="s">
        <v>20</v>
      </c>
      <c r="D159" s="278" t="s">
        <v>805</v>
      </c>
      <c r="E159" s="278" t="s">
        <v>806</v>
      </c>
      <c r="F159" s="171">
        <v>2025</v>
      </c>
      <c r="G159" s="278" t="s">
        <v>21</v>
      </c>
      <c r="H159" s="278" t="s">
        <v>807</v>
      </c>
      <c r="I159" s="9" t="s">
        <v>20</v>
      </c>
      <c r="J159" s="9" t="s">
        <v>20</v>
      </c>
      <c r="K159" s="171"/>
      <c r="L159" s="9" t="s">
        <v>21</v>
      </c>
      <c r="M159" s="9" t="s">
        <v>807</v>
      </c>
      <c r="N159" s="16">
        <v>39773952</v>
      </c>
      <c r="O159" s="16" t="s">
        <v>808</v>
      </c>
      <c r="P159" s="9"/>
      <c r="Q159" s="171"/>
    </row>
    <row r="160" spans="1:17" ht="15" customHeight="1">
      <c r="A160" s="318" t="s">
        <v>1327</v>
      </c>
      <c r="B160" s="227" t="s">
        <v>16</v>
      </c>
      <c r="C160" s="242" t="s">
        <v>809</v>
      </c>
      <c r="D160" s="278" t="s">
        <v>810</v>
      </c>
      <c r="E160" s="278" t="s">
        <v>811</v>
      </c>
      <c r="F160" s="171">
        <v>2025</v>
      </c>
      <c r="G160" s="278" t="s">
        <v>21</v>
      </c>
      <c r="H160" s="278" t="s">
        <v>812</v>
      </c>
      <c r="I160" s="9" t="s">
        <v>35</v>
      </c>
      <c r="J160" s="9" t="s">
        <v>35</v>
      </c>
      <c r="K160" s="171"/>
      <c r="L160" s="9" t="s">
        <v>21</v>
      </c>
      <c r="M160" s="9" t="s">
        <v>812</v>
      </c>
      <c r="N160" s="16">
        <v>40003283</v>
      </c>
      <c r="O160" s="16" t="s">
        <v>813</v>
      </c>
      <c r="P160" s="9"/>
      <c r="Q160" s="171"/>
    </row>
    <row r="161" spans="1:17" ht="15" customHeight="1">
      <c r="A161" s="318" t="s">
        <v>1327</v>
      </c>
      <c r="B161" s="227" t="s">
        <v>16</v>
      </c>
      <c r="C161" s="242" t="s">
        <v>20</v>
      </c>
      <c r="D161" s="278" t="s">
        <v>1339</v>
      </c>
      <c r="E161" s="278" t="s">
        <v>1340</v>
      </c>
      <c r="F161" s="171">
        <v>2025</v>
      </c>
      <c r="G161" s="278" t="s">
        <v>21</v>
      </c>
      <c r="H161" s="278" t="s">
        <v>807</v>
      </c>
      <c r="I161" s="9" t="s">
        <v>20</v>
      </c>
      <c r="J161" s="9" t="s">
        <v>20</v>
      </c>
      <c r="K161" s="171"/>
      <c r="L161" s="9" t="s">
        <v>21</v>
      </c>
      <c r="M161" s="9" t="s">
        <v>807</v>
      </c>
      <c r="N161" s="16">
        <v>39773952</v>
      </c>
      <c r="O161" s="16" t="s">
        <v>808</v>
      </c>
      <c r="P161" s="9"/>
      <c r="Q161" s="171"/>
    </row>
    <row r="162" spans="1:17" ht="15" customHeight="1">
      <c r="A162" s="318" t="s">
        <v>1327</v>
      </c>
      <c r="B162" s="227" t="s">
        <v>16</v>
      </c>
      <c r="C162" s="242" t="s">
        <v>64</v>
      </c>
      <c r="D162" s="278" t="s">
        <v>814</v>
      </c>
      <c r="E162" s="278" t="s">
        <v>815</v>
      </c>
      <c r="F162" s="171">
        <v>2025</v>
      </c>
      <c r="G162" s="278" t="s">
        <v>21</v>
      </c>
      <c r="H162" s="278" t="s">
        <v>817</v>
      </c>
      <c r="I162" s="9" t="s">
        <v>35</v>
      </c>
      <c r="J162" s="9" t="s">
        <v>35</v>
      </c>
      <c r="K162" s="171"/>
      <c r="L162" s="9" t="s">
        <v>21</v>
      </c>
      <c r="M162" s="9" t="s">
        <v>817</v>
      </c>
      <c r="N162" s="16">
        <v>39645434</v>
      </c>
      <c r="O162" s="47" t="s">
        <v>440</v>
      </c>
      <c r="P162" s="9"/>
      <c r="Q162" s="171"/>
    </row>
    <row r="163" spans="1:17" ht="15" hidden="1" customHeight="1">
      <c r="A163" s="318" t="s">
        <v>1327</v>
      </c>
      <c r="B163" s="227" t="s">
        <v>379</v>
      </c>
      <c r="C163" s="242" t="s">
        <v>64</v>
      </c>
      <c r="D163" s="276" t="s">
        <v>1341</v>
      </c>
      <c r="E163" s="227" t="s">
        <v>820</v>
      </c>
      <c r="F163" s="171">
        <v>2024</v>
      </c>
      <c r="G163" s="278" t="s">
        <v>272</v>
      </c>
      <c r="H163" s="278"/>
      <c r="I163" s="9" t="s">
        <v>45</v>
      </c>
      <c r="J163" s="9" t="s">
        <v>45</v>
      </c>
      <c r="K163" s="171"/>
      <c r="L163" s="9" t="s">
        <v>272</v>
      </c>
      <c r="M163" s="9"/>
      <c r="N163" s="16"/>
      <c r="O163" s="16"/>
      <c r="P163" s="9"/>
      <c r="Q163" s="171"/>
    </row>
    <row r="164" spans="1:17" ht="15" customHeight="1">
      <c r="A164" s="318" t="s">
        <v>1327</v>
      </c>
      <c r="B164" s="278" t="s">
        <v>16</v>
      </c>
      <c r="C164" s="242" t="s">
        <v>796</v>
      </c>
      <c r="D164" s="278" t="s">
        <v>822</v>
      </c>
      <c r="E164" s="278" t="s">
        <v>823</v>
      </c>
      <c r="F164" s="171">
        <v>2025</v>
      </c>
      <c r="G164" s="278" t="s">
        <v>21</v>
      </c>
      <c r="H164" s="278" t="s">
        <v>824</v>
      </c>
      <c r="I164" s="9" t="s">
        <v>72</v>
      </c>
      <c r="J164" s="9" t="s">
        <v>72</v>
      </c>
      <c r="K164" s="171"/>
      <c r="L164" s="9" t="s">
        <v>21</v>
      </c>
      <c r="M164" s="9" t="s">
        <v>824</v>
      </c>
      <c r="N164" s="16" t="s">
        <v>75</v>
      </c>
      <c r="O164" s="16" t="s">
        <v>75</v>
      </c>
      <c r="P164" s="9"/>
      <c r="Q164" s="171"/>
    </row>
    <row r="165" spans="1:17" ht="15" customHeight="1">
      <c r="A165" s="318" t="s">
        <v>1327</v>
      </c>
      <c r="B165" s="227" t="s">
        <v>16</v>
      </c>
      <c r="C165" s="242" t="s">
        <v>825</v>
      </c>
      <c r="D165" s="278" t="s">
        <v>826</v>
      </c>
      <c r="E165" s="278" t="s">
        <v>827</v>
      </c>
      <c r="F165" s="171">
        <v>2025</v>
      </c>
      <c r="G165" s="278" t="s">
        <v>21</v>
      </c>
      <c r="H165" s="293" t="s">
        <v>829</v>
      </c>
      <c r="I165" s="9" t="s">
        <v>35</v>
      </c>
      <c r="J165" s="9" t="s">
        <v>35</v>
      </c>
      <c r="K165" s="171"/>
      <c r="L165" s="9" t="s">
        <v>21</v>
      </c>
      <c r="M165" s="158" t="s">
        <v>829</v>
      </c>
      <c r="N165" s="16">
        <v>40145399</v>
      </c>
      <c r="O165" s="16" t="s">
        <v>830</v>
      </c>
      <c r="P165" s="158" t="s">
        <v>828</v>
      </c>
      <c r="Q165" s="171"/>
    </row>
    <row r="166" spans="1:17" ht="15" customHeight="1">
      <c r="A166" s="318" t="s">
        <v>1327</v>
      </c>
      <c r="B166" s="278" t="s">
        <v>16</v>
      </c>
      <c r="C166" s="242" t="s">
        <v>831</v>
      </c>
      <c r="D166" s="296" t="s">
        <v>832</v>
      </c>
      <c r="E166" s="296" t="s">
        <v>833</v>
      </c>
      <c r="F166" s="171">
        <v>2025</v>
      </c>
      <c r="G166" s="278" t="s">
        <v>21</v>
      </c>
      <c r="H166" s="278" t="s">
        <v>835</v>
      </c>
      <c r="I166" s="9" t="s">
        <v>35</v>
      </c>
      <c r="J166" s="9" t="s">
        <v>35</v>
      </c>
      <c r="K166" s="171"/>
      <c r="L166" s="9" t="s">
        <v>21</v>
      </c>
      <c r="M166" s="9" t="s">
        <v>835</v>
      </c>
      <c r="N166" s="16">
        <v>40099906</v>
      </c>
      <c r="O166" s="47" t="s">
        <v>440</v>
      </c>
      <c r="P166" s="155" t="s">
        <v>834</v>
      </c>
      <c r="Q166" s="171"/>
    </row>
    <row r="167" spans="1:17" ht="15" customHeight="1">
      <c r="A167" s="318" t="s">
        <v>1327</v>
      </c>
      <c r="B167" s="278" t="s">
        <v>16</v>
      </c>
      <c r="C167" s="242" t="s">
        <v>836</v>
      </c>
      <c r="D167" s="278" t="s">
        <v>837</v>
      </c>
      <c r="E167" s="278" t="s">
        <v>838</v>
      </c>
      <c r="F167" s="171">
        <v>2025</v>
      </c>
      <c r="G167" s="278" t="s">
        <v>21</v>
      </c>
      <c r="H167" s="278" t="s">
        <v>840</v>
      </c>
      <c r="I167" s="9" t="s">
        <v>35</v>
      </c>
      <c r="J167" s="9" t="s">
        <v>35</v>
      </c>
      <c r="K167" s="171"/>
      <c r="L167" s="9" t="s">
        <v>21</v>
      </c>
      <c r="M167" s="9" t="s">
        <v>840</v>
      </c>
      <c r="N167" s="16">
        <v>40116295</v>
      </c>
      <c r="O167" s="16" t="s">
        <v>841</v>
      </c>
      <c r="P167" s="155" t="s">
        <v>839</v>
      </c>
      <c r="Q167" s="171"/>
    </row>
    <row r="168" spans="1:17" ht="15" customHeight="1">
      <c r="A168" s="318" t="s">
        <v>1327</v>
      </c>
      <c r="B168" s="278"/>
      <c r="C168" s="242" t="s">
        <v>64</v>
      </c>
      <c r="D168" s="242" t="s">
        <v>842</v>
      </c>
      <c r="E168" s="278" t="s">
        <v>843</v>
      </c>
      <c r="F168" s="171">
        <v>2025</v>
      </c>
      <c r="G168" s="278" t="s">
        <v>176</v>
      </c>
      <c r="H168" s="278"/>
      <c r="I168" s="9" t="s">
        <v>35</v>
      </c>
      <c r="J168" s="9" t="s">
        <v>35</v>
      </c>
      <c r="K168" s="171"/>
      <c r="L168" s="9" t="s">
        <v>176</v>
      </c>
      <c r="M168" s="9"/>
      <c r="N168" s="16"/>
      <c r="O168" s="16"/>
      <c r="P168" s="9" t="str">
        <f>ARISE!P66</f>
        <v>This article was rejected from vaccine. It is being revised and is not currently submitted anywhere.</v>
      </c>
      <c r="Q168" s="171"/>
    </row>
    <row r="169" spans="1:17" ht="15" customHeight="1">
      <c r="A169" s="318" t="s">
        <v>1327</v>
      </c>
      <c r="B169" s="278" t="s">
        <v>379</v>
      </c>
      <c r="C169" s="242" t="s">
        <v>64</v>
      </c>
      <c r="D169" s="278" t="s">
        <v>1342</v>
      </c>
      <c r="E169" s="278" t="s">
        <v>846</v>
      </c>
      <c r="F169" s="171">
        <v>2025</v>
      </c>
      <c r="G169" s="278" t="s">
        <v>272</v>
      </c>
      <c r="H169" s="278"/>
      <c r="I169" s="9" t="s">
        <v>45</v>
      </c>
      <c r="J169" s="9" t="s">
        <v>45</v>
      </c>
      <c r="K169" s="171"/>
      <c r="L169" s="9" t="s">
        <v>272</v>
      </c>
      <c r="M169" s="9"/>
      <c r="N169" s="16"/>
      <c r="O169" s="16"/>
      <c r="P169" s="9"/>
      <c r="Q169" s="171"/>
    </row>
    <row r="170" spans="1:17" ht="15" customHeight="1">
      <c r="A170" s="318" t="s">
        <v>1327</v>
      </c>
      <c r="B170" s="278" t="s">
        <v>379</v>
      </c>
      <c r="C170" s="242" t="s">
        <v>1174</v>
      </c>
      <c r="D170" s="278" t="s">
        <v>848</v>
      </c>
      <c r="E170" s="278" t="s">
        <v>849</v>
      </c>
      <c r="F170" s="171">
        <v>2025</v>
      </c>
      <c r="G170" s="278"/>
      <c r="H170" s="278"/>
      <c r="I170" s="9" t="s">
        <v>35</v>
      </c>
      <c r="J170" s="9" t="s">
        <v>35</v>
      </c>
      <c r="K170" s="171"/>
      <c r="L170" s="9"/>
      <c r="M170" s="9"/>
      <c r="N170" s="16"/>
      <c r="O170" s="16"/>
      <c r="P170" s="9"/>
      <c r="Q170" s="171"/>
    </row>
    <row r="171" spans="1:17" ht="15" customHeight="1">
      <c r="A171" s="318" t="s">
        <v>1327</v>
      </c>
      <c r="B171" s="278" t="s">
        <v>16</v>
      </c>
      <c r="C171" s="242" t="s">
        <v>1343</v>
      </c>
      <c r="D171" s="226" t="s">
        <v>891</v>
      </c>
      <c r="E171" s="226" t="s">
        <v>1344</v>
      </c>
      <c r="F171" s="171">
        <v>2025</v>
      </c>
      <c r="G171" s="278" t="s">
        <v>21</v>
      </c>
      <c r="H171" s="278" t="s">
        <v>1345</v>
      </c>
      <c r="I171" s="9" t="s">
        <v>45</v>
      </c>
      <c r="J171" s="9" t="s">
        <v>45</v>
      </c>
      <c r="K171" s="171"/>
      <c r="L171" s="9" t="s">
        <v>21</v>
      </c>
      <c r="M171" s="9" t="s">
        <v>1345</v>
      </c>
      <c r="N171" s="16">
        <v>40228197</v>
      </c>
      <c r="O171" s="16" t="s">
        <v>894</v>
      </c>
      <c r="P171" s="9"/>
      <c r="Q171" s="171"/>
    </row>
    <row r="172" spans="1:17" ht="15" customHeight="1">
      <c r="A172" s="318" t="s">
        <v>1327</v>
      </c>
      <c r="B172" s="278" t="s">
        <v>379</v>
      </c>
      <c r="C172" s="242" t="s">
        <v>80</v>
      </c>
      <c r="D172" s="283" t="s">
        <v>851</v>
      </c>
      <c r="E172" s="283" t="s">
        <v>852</v>
      </c>
      <c r="F172" s="171">
        <v>2025</v>
      </c>
      <c r="G172" s="278" t="s">
        <v>272</v>
      </c>
      <c r="H172" s="278"/>
      <c r="I172" s="9" t="s">
        <v>45</v>
      </c>
      <c r="J172" s="9" t="s">
        <v>45</v>
      </c>
      <c r="K172" s="171"/>
      <c r="L172" s="9" t="s">
        <v>272</v>
      </c>
      <c r="M172" s="9"/>
      <c r="N172" s="16"/>
      <c r="O172" s="16"/>
      <c r="P172" s="9"/>
      <c r="Q172" s="171"/>
    </row>
    <row r="173" spans="1:17" ht="15" customHeight="1">
      <c r="A173" s="318" t="s">
        <v>1327</v>
      </c>
      <c r="B173" s="278" t="s">
        <v>398</v>
      </c>
      <c r="C173" s="242" t="s">
        <v>1346</v>
      </c>
      <c r="D173" s="242" t="s">
        <v>1347</v>
      </c>
      <c r="E173" s="278" t="s">
        <v>855</v>
      </c>
      <c r="F173" s="171">
        <v>2025</v>
      </c>
      <c r="G173" s="278" t="s">
        <v>272</v>
      </c>
      <c r="H173" s="278"/>
      <c r="I173" s="9" t="s">
        <v>35</v>
      </c>
      <c r="J173" s="9" t="s">
        <v>35</v>
      </c>
      <c r="K173" s="171"/>
      <c r="L173" s="9" t="s">
        <v>272</v>
      </c>
      <c r="M173" s="9"/>
      <c r="N173" s="16"/>
      <c r="O173" s="16"/>
      <c r="P173" s="9"/>
      <c r="Q173" s="171"/>
    </row>
    <row r="174" spans="1:17" ht="15" customHeight="1">
      <c r="A174" s="318" t="s">
        <v>1327</v>
      </c>
      <c r="B174" s="278" t="s">
        <v>16</v>
      </c>
      <c r="C174" s="242" t="s">
        <v>64</v>
      </c>
      <c r="D174" s="278" t="s">
        <v>1348</v>
      </c>
      <c r="E174" s="278" t="s">
        <v>858</v>
      </c>
      <c r="F174" s="171">
        <v>2025</v>
      </c>
      <c r="G174" s="278" t="s">
        <v>21</v>
      </c>
      <c r="H174" s="293" t="s">
        <v>860</v>
      </c>
      <c r="I174" s="9" t="s">
        <v>35</v>
      </c>
      <c r="J174" s="9" t="s">
        <v>35</v>
      </c>
      <c r="K174" s="171"/>
      <c r="L174" s="9" t="s">
        <v>21</v>
      </c>
      <c r="M174" s="158" t="s">
        <v>860</v>
      </c>
      <c r="N174" s="16"/>
      <c r="O174" s="16"/>
      <c r="P174" s="158" t="s">
        <v>859</v>
      </c>
      <c r="Q174" s="171"/>
    </row>
    <row r="175" spans="1:17" ht="15" customHeight="1">
      <c r="A175" s="318" t="s">
        <v>1327</v>
      </c>
      <c r="B175" s="278" t="s">
        <v>16</v>
      </c>
      <c r="C175" s="242" t="s">
        <v>861</v>
      </c>
      <c r="D175" s="278" t="s">
        <v>862</v>
      </c>
      <c r="E175" s="278" t="s">
        <v>863</v>
      </c>
      <c r="F175" s="171">
        <v>2025</v>
      </c>
      <c r="G175" s="278" t="s">
        <v>21</v>
      </c>
      <c r="H175" s="278" t="s">
        <v>864</v>
      </c>
      <c r="I175" s="9" t="s">
        <v>45</v>
      </c>
      <c r="J175" s="9" t="s">
        <v>45</v>
      </c>
      <c r="K175" s="171"/>
      <c r="L175" s="9" t="s">
        <v>21</v>
      </c>
      <c r="M175" s="9" t="s">
        <v>864</v>
      </c>
      <c r="N175" s="16">
        <v>40026104</v>
      </c>
      <c r="O175" s="47"/>
      <c r="P175" s="9"/>
      <c r="Q175" s="171"/>
    </row>
    <row r="176" spans="1:17" ht="15" customHeight="1">
      <c r="A176" s="318" t="s">
        <v>1327</v>
      </c>
      <c r="B176" s="278" t="s">
        <v>16</v>
      </c>
      <c r="C176" s="242" t="s">
        <v>866</v>
      </c>
      <c r="D176" s="278" t="s">
        <v>867</v>
      </c>
      <c r="E176" s="297" t="s">
        <v>868</v>
      </c>
      <c r="F176" s="171">
        <v>2025</v>
      </c>
      <c r="G176" s="278" t="s">
        <v>21</v>
      </c>
      <c r="H176" s="293" t="s">
        <v>869</v>
      </c>
      <c r="I176" s="9" t="s">
        <v>35</v>
      </c>
      <c r="J176" s="9" t="s">
        <v>35</v>
      </c>
      <c r="K176" s="171"/>
      <c r="L176" s="9" t="s">
        <v>21</v>
      </c>
      <c r="M176" s="158" t="s">
        <v>869</v>
      </c>
      <c r="N176" s="16">
        <v>40200105</v>
      </c>
      <c r="O176" s="16" t="s">
        <v>870</v>
      </c>
      <c r="P176" s="158" t="s">
        <v>869</v>
      </c>
      <c r="Q176" s="171"/>
    </row>
    <row r="177" spans="1:17" ht="15" customHeight="1">
      <c r="A177" s="318" t="s">
        <v>1327</v>
      </c>
      <c r="B177" s="278" t="s">
        <v>379</v>
      </c>
      <c r="C177" s="242" t="s">
        <v>871</v>
      </c>
      <c r="D177" s="278" t="s">
        <v>872</v>
      </c>
      <c r="E177" s="278" t="s">
        <v>873</v>
      </c>
      <c r="F177" s="171">
        <v>2025</v>
      </c>
      <c r="G177" s="278" t="s">
        <v>272</v>
      </c>
      <c r="H177" s="278"/>
      <c r="I177" s="9" t="s">
        <v>35</v>
      </c>
      <c r="J177" s="9" t="s">
        <v>35</v>
      </c>
      <c r="K177" s="171"/>
      <c r="L177" s="9" t="s">
        <v>272</v>
      </c>
      <c r="M177" s="9"/>
      <c r="N177" s="16"/>
      <c r="O177" s="16"/>
      <c r="P177" s="9"/>
      <c r="Q177" s="171"/>
    </row>
    <row r="178" spans="1:17" ht="15" customHeight="1">
      <c r="A178" s="318" t="s">
        <v>1327</v>
      </c>
      <c r="B178" s="278" t="s">
        <v>379</v>
      </c>
      <c r="C178" s="242" t="s">
        <v>80</v>
      </c>
      <c r="D178" s="278" t="s">
        <v>875</v>
      </c>
      <c r="E178" s="278" t="s">
        <v>876</v>
      </c>
      <c r="F178" s="171">
        <v>2025</v>
      </c>
      <c r="G178" s="278" t="s">
        <v>272</v>
      </c>
      <c r="H178" s="278"/>
      <c r="I178" s="9" t="s">
        <v>35</v>
      </c>
      <c r="J178" s="9" t="s">
        <v>35</v>
      </c>
      <c r="K178" s="171"/>
      <c r="L178" s="9" t="s">
        <v>272</v>
      </c>
      <c r="M178" s="9"/>
      <c r="N178" s="16"/>
      <c r="O178" s="16"/>
      <c r="P178" s="9"/>
      <c r="Q178" s="171"/>
    </row>
    <row r="179" spans="1:17" ht="15" customHeight="1">
      <c r="A179" s="318" t="s">
        <v>1327</v>
      </c>
      <c r="B179" s="278" t="s">
        <v>16</v>
      </c>
      <c r="C179" s="242" t="s">
        <v>825</v>
      </c>
      <c r="D179" s="278" t="s">
        <v>878</v>
      </c>
      <c r="E179" s="298" t="s">
        <v>879</v>
      </c>
      <c r="F179" s="171">
        <v>2025</v>
      </c>
      <c r="G179" s="278" t="s">
        <v>21</v>
      </c>
      <c r="H179" s="299" t="s">
        <v>881</v>
      </c>
      <c r="I179" s="9" t="s">
        <v>35</v>
      </c>
      <c r="J179" s="9" t="s">
        <v>35</v>
      </c>
      <c r="K179" s="171"/>
      <c r="L179" s="9" t="s">
        <v>21</v>
      </c>
      <c r="M179" s="161" t="s">
        <v>881</v>
      </c>
      <c r="N179" s="16">
        <v>40145399</v>
      </c>
      <c r="O179" s="16" t="s">
        <v>830</v>
      </c>
      <c r="P179" s="154" t="s">
        <v>880</v>
      </c>
      <c r="Q179" s="171"/>
    </row>
    <row r="180" spans="1:17" ht="15" customHeight="1">
      <c r="A180" s="318" t="s">
        <v>1327</v>
      </c>
      <c r="B180" s="242" t="s">
        <v>16</v>
      </c>
      <c r="C180" s="242" t="s">
        <v>882</v>
      </c>
      <c r="D180" s="278" t="s">
        <v>883</v>
      </c>
      <c r="E180" s="278" t="s">
        <v>884</v>
      </c>
      <c r="F180" s="171">
        <v>2025</v>
      </c>
      <c r="G180" s="278" t="s">
        <v>21</v>
      </c>
      <c r="H180" s="230" t="s">
        <v>886</v>
      </c>
      <c r="I180" s="9" t="s">
        <v>35</v>
      </c>
      <c r="J180" s="9" t="s">
        <v>35</v>
      </c>
      <c r="K180" s="171"/>
      <c r="L180" s="9" t="s">
        <v>21</v>
      </c>
      <c r="M180" s="390" t="s">
        <v>886</v>
      </c>
      <c r="N180" s="16">
        <v>40663355</v>
      </c>
      <c r="O180" s="16"/>
      <c r="P180" s="162" t="s">
        <v>885</v>
      </c>
      <c r="Q180" s="171"/>
    </row>
    <row r="181" spans="1:17" ht="15" customHeight="1">
      <c r="A181" s="318" t="s">
        <v>1327</v>
      </c>
      <c r="B181" s="278" t="s">
        <v>16</v>
      </c>
      <c r="C181" s="242" t="s">
        <v>536</v>
      </c>
      <c r="D181" s="242" t="s">
        <v>887</v>
      </c>
      <c r="E181" s="278" t="s">
        <v>888</v>
      </c>
      <c r="F181" s="171">
        <v>2025</v>
      </c>
      <c r="G181" s="231" t="s">
        <v>21</v>
      </c>
      <c r="H181" s="278" t="s">
        <v>889</v>
      </c>
      <c r="I181" s="9" t="s">
        <v>35</v>
      </c>
      <c r="J181" s="9" t="s">
        <v>35</v>
      </c>
      <c r="K181" s="171"/>
      <c r="L181" t="s">
        <v>21</v>
      </c>
      <c r="M181" s="9" t="s">
        <v>889</v>
      </c>
      <c r="N181" s="16"/>
      <c r="O181" s="16"/>
      <c r="P181" s="9"/>
      <c r="Q181" s="171"/>
    </row>
    <row r="182" spans="1:17" ht="15" customHeight="1">
      <c r="A182" s="318" t="s">
        <v>1327</v>
      </c>
      <c r="B182" s="278" t="s">
        <v>16</v>
      </c>
      <c r="C182" s="242" t="s">
        <v>890</v>
      </c>
      <c r="D182" s="278" t="s">
        <v>891</v>
      </c>
      <c r="E182" s="230" t="s">
        <v>892</v>
      </c>
      <c r="F182" s="171">
        <v>2025</v>
      </c>
      <c r="G182" s="278" t="s">
        <v>21</v>
      </c>
      <c r="H182" s="293" t="s">
        <v>893</v>
      </c>
      <c r="I182" s="9" t="s">
        <v>35</v>
      </c>
      <c r="J182" s="9" t="s">
        <v>35</v>
      </c>
      <c r="K182" s="171"/>
      <c r="L182" s="9" t="s">
        <v>21</v>
      </c>
      <c r="M182" s="158" t="s">
        <v>893</v>
      </c>
      <c r="N182" s="16">
        <v>40228197</v>
      </c>
      <c r="O182" s="16" t="s">
        <v>894</v>
      </c>
      <c r="P182" s="9"/>
      <c r="Q182" s="171"/>
    </row>
    <row r="183" spans="1:17" ht="15" customHeight="1">
      <c r="A183" s="318" t="s">
        <v>1327</v>
      </c>
      <c r="B183" s="278" t="s">
        <v>379</v>
      </c>
      <c r="C183" s="242" t="s">
        <v>1349</v>
      </c>
      <c r="D183" s="276" t="s">
        <v>1350</v>
      </c>
      <c r="E183" s="227" t="s">
        <v>896</v>
      </c>
      <c r="F183" s="171">
        <v>2025</v>
      </c>
      <c r="G183" s="231" t="s">
        <v>272</v>
      </c>
      <c r="H183" s="278"/>
      <c r="I183" s="9" t="s">
        <v>35</v>
      </c>
      <c r="J183" s="9" t="s">
        <v>35</v>
      </c>
      <c r="K183" s="171"/>
      <c r="L183" t="s">
        <v>272</v>
      </c>
      <c r="M183" s="9"/>
      <c r="N183" s="16"/>
      <c r="O183" s="16"/>
      <c r="P183" s="9"/>
      <c r="Q183" s="171"/>
    </row>
    <row r="184" spans="1:17" ht="15" customHeight="1">
      <c r="A184" s="318" t="s">
        <v>1327</v>
      </c>
      <c r="B184" s="278" t="s">
        <v>16</v>
      </c>
      <c r="C184" s="242" t="s">
        <v>64</v>
      </c>
      <c r="D184" s="242" t="s">
        <v>897</v>
      </c>
      <c r="E184" s="278" t="s">
        <v>898</v>
      </c>
      <c r="F184" s="171">
        <v>2025</v>
      </c>
      <c r="G184" s="278" t="s">
        <v>21</v>
      </c>
      <c r="H184" s="253" t="s">
        <v>899</v>
      </c>
      <c r="I184" s="9" t="s">
        <v>35</v>
      </c>
      <c r="J184" s="9" t="s">
        <v>35</v>
      </c>
      <c r="K184" s="171"/>
      <c r="L184" s="9" t="s">
        <v>21</v>
      </c>
      <c r="M184" s="155" t="s">
        <v>899</v>
      </c>
      <c r="N184" s="16">
        <v>40494224</v>
      </c>
      <c r="O184" s="16"/>
      <c r="P184" s="9"/>
      <c r="Q184" s="171"/>
    </row>
    <row r="185" spans="1:17" ht="30.75" customHeight="1">
      <c r="A185" s="318" t="s">
        <v>1327</v>
      </c>
      <c r="B185" s="278" t="s">
        <v>16</v>
      </c>
      <c r="C185" s="242" t="s">
        <v>901</v>
      </c>
      <c r="D185" s="242" t="s">
        <v>902</v>
      </c>
      <c r="E185" s="278" t="s">
        <v>903</v>
      </c>
      <c r="F185" s="171">
        <v>2025</v>
      </c>
      <c r="G185" s="278" t="s">
        <v>21</v>
      </c>
      <c r="H185" s="253" t="s">
        <v>905</v>
      </c>
      <c r="I185" s="9" t="s">
        <v>35</v>
      </c>
      <c r="J185" s="9" t="s">
        <v>35</v>
      </c>
      <c r="K185" s="171"/>
      <c r="L185" s="9" t="s">
        <v>21</v>
      </c>
      <c r="M185" s="155" t="s">
        <v>905</v>
      </c>
      <c r="N185" s="16">
        <v>40462551</v>
      </c>
      <c r="O185" s="16"/>
      <c r="P185" s="158" t="s">
        <v>904</v>
      </c>
      <c r="Q185" s="171"/>
    </row>
    <row r="186" spans="1:17" ht="15" hidden="1" customHeight="1">
      <c r="A186" s="318" t="s">
        <v>1327</v>
      </c>
      <c r="B186" s="278" t="s">
        <v>379</v>
      </c>
      <c r="C186" s="242" t="s">
        <v>906</v>
      </c>
      <c r="D186" s="278" t="s">
        <v>907</v>
      </c>
      <c r="E186" s="278" t="s">
        <v>908</v>
      </c>
      <c r="F186" s="171">
        <v>2023</v>
      </c>
      <c r="G186" s="231" t="s">
        <v>75</v>
      </c>
      <c r="H186" s="278"/>
      <c r="I186" s="9"/>
      <c r="J186" s="9"/>
      <c r="K186" s="171"/>
      <c r="L186" t="s">
        <v>75</v>
      </c>
      <c r="M186" s="9"/>
      <c r="N186" s="16"/>
      <c r="O186" s="16"/>
      <c r="P186" s="9"/>
      <c r="Q186" s="171"/>
    </row>
    <row r="187" spans="1:17" ht="15" customHeight="1">
      <c r="A187" s="318" t="s">
        <v>1327</v>
      </c>
      <c r="B187" s="278" t="s">
        <v>16</v>
      </c>
      <c r="C187" s="242" t="s">
        <v>64</v>
      </c>
      <c r="D187" s="283" t="s">
        <v>797</v>
      </c>
      <c r="E187" s="283" t="s">
        <v>909</v>
      </c>
      <c r="F187" s="171">
        <v>2025</v>
      </c>
      <c r="G187" s="231" t="s">
        <v>21</v>
      </c>
      <c r="H187" s="253" t="s">
        <v>911</v>
      </c>
      <c r="I187" s="9" t="s">
        <v>35</v>
      </c>
      <c r="J187" s="9" t="s">
        <v>35</v>
      </c>
      <c r="K187" s="171"/>
      <c r="L187" t="s">
        <v>21</v>
      </c>
      <c r="M187" s="155" t="s">
        <v>911</v>
      </c>
      <c r="N187" s="16">
        <v>40716146</v>
      </c>
      <c r="O187" s="16" t="s">
        <v>912</v>
      </c>
      <c r="P187" s="158" t="s">
        <v>910</v>
      </c>
      <c r="Q187" s="171"/>
    </row>
    <row r="188" spans="1:17" ht="15" customHeight="1">
      <c r="A188" s="318" t="s">
        <v>1327</v>
      </c>
      <c r="B188" s="278" t="s">
        <v>16</v>
      </c>
      <c r="C188" s="242" t="s">
        <v>64</v>
      </c>
      <c r="D188" s="278" t="s">
        <v>797</v>
      </c>
      <c r="E188" s="278" t="s">
        <v>913</v>
      </c>
      <c r="F188" s="171">
        <v>2025</v>
      </c>
      <c r="G188" s="231" t="s">
        <v>21</v>
      </c>
      <c r="H188" s="293" t="s">
        <v>915</v>
      </c>
      <c r="I188" s="9" t="s">
        <v>35</v>
      </c>
      <c r="J188" s="9" t="s">
        <v>35</v>
      </c>
      <c r="K188" s="171"/>
      <c r="L188" t="s">
        <v>21</v>
      </c>
      <c r="M188" s="158" t="s">
        <v>915</v>
      </c>
      <c r="N188" s="16">
        <v>40716145</v>
      </c>
      <c r="O188" s="16"/>
      <c r="P188" s="158" t="s">
        <v>914</v>
      </c>
      <c r="Q188" s="171"/>
    </row>
    <row r="189" spans="1:17" ht="15" customHeight="1">
      <c r="A189" s="318" t="s">
        <v>1327</v>
      </c>
      <c r="B189" s="242" t="s">
        <v>16</v>
      </c>
      <c r="C189" s="242" t="s">
        <v>916</v>
      </c>
      <c r="D189" s="278" t="s">
        <v>797</v>
      </c>
      <c r="E189" s="283" t="s">
        <v>917</v>
      </c>
      <c r="F189" s="171">
        <v>2025</v>
      </c>
      <c r="G189" s="278" t="s">
        <v>21</v>
      </c>
      <c r="H189" s="253" t="s">
        <v>919</v>
      </c>
      <c r="I189" s="9" t="s">
        <v>35</v>
      </c>
      <c r="J189" s="9" t="s">
        <v>35</v>
      </c>
      <c r="K189" s="171"/>
      <c r="L189" s="9" t="s">
        <v>21</v>
      </c>
      <c r="M189" s="155" t="s">
        <v>919</v>
      </c>
      <c r="N189" s="16">
        <v>40727315</v>
      </c>
      <c r="O189" s="16" t="s">
        <v>920</v>
      </c>
      <c r="P189" s="158" t="s">
        <v>918</v>
      </c>
      <c r="Q189" s="171"/>
    </row>
    <row r="190" spans="1:17" ht="15" customHeight="1">
      <c r="A190" s="318" t="s">
        <v>1327</v>
      </c>
      <c r="B190" s="278" t="s">
        <v>16</v>
      </c>
      <c r="C190" s="242" t="s">
        <v>20</v>
      </c>
      <c r="D190" s="230" t="s">
        <v>1351</v>
      </c>
      <c r="E190" s="300" t="s">
        <v>922</v>
      </c>
      <c r="F190" s="171">
        <v>2025</v>
      </c>
      <c r="G190" s="278" t="s">
        <v>21</v>
      </c>
      <c r="H190" s="253" t="s">
        <v>924</v>
      </c>
      <c r="I190" s="9" t="s">
        <v>35</v>
      </c>
      <c r="J190" s="9" t="s">
        <v>35</v>
      </c>
      <c r="K190" s="171"/>
      <c r="L190" s="9" t="s">
        <v>21</v>
      </c>
      <c r="M190" s="155" t="s">
        <v>924</v>
      </c>
      <c r="N190" s="16">
        <v>40531798</v>
      </c>
      <c r="O190" s="16" t="s">
        <v>925</v>
      </c>
      <c r="P190" s="158" t="s">
        <v>923</v>
      </c>
      <c r="Q190" s="171"/>
    </row>
    <row r="191" spans="1:17" ht="15" customHeight="1">
      <c r="A191" s="318" t="s">
        <v>1327</v>
      </c>
      <c r="B191" s="278" t="s">
        <v>398</v>
      </c>
      <c r="C191" s="242" t="s">
        <v>926</v>
      </c>
      <c r="D191" s="242" t="s">
        <v>1352</v>
      </c>
      <c r="E191" s="226" t="s">
        <v>928</v>
      </c>
      <c r="F191" s="171">
        <v>2025</v>
      </c>
      <c r="G191" s="278"/>
      <c r="H191" s="278"/>
      <c r="I191" s="9" t="s">
        <v>35</v>
      </c>
      <c r="J191" s="9" t="s">
        <v>35</v>
      </c>
      <c r="K191" s="171"/>
      <c r="L191" s="9"/>
      <c r="M191" s="9"/>
      <c r="N191" s="16"/>
      <c r="O191" s="16"/>
      <c r="P191" s="9"/>
      <c r="Q191" s="171"/>
    </row>
    <row r="192" spans="1:17" ht="15" customHeight="1">
      <c r="A192" s="318" t="s">
        <v>1327</v>
      </c>
      <c r="B192" s="278" t="s">
        <v>16</v>
      </c>
      <c r="C192" s="242" t="s">
        <v>64</v>
      </c>
      <c r="D192" s="301" t="s">
        <v>1353</v>
      </c>
      <c r="E192" s="230" t="s">
        <v>932</v>
      </c>
      <c r="F192" s="171">
        <v>2025</v>
      </c>
      <c r="G192" s="278"/>
      <c r="H192" s="278"/>
      <c r="I192" s="9" t="s">
        <v>35</v>
      </c>
      <c r="J192" s="9" t="s">
        <v>35</v>
      </c>
      <c r="K192" s="171"/>
      <c r="L192" s="9" t="s">
        <v>21</v>
      </c>
      <c r="M192" s="9"/>
      <c r="N192" s="16"/>
      <c r="O192" s="16"/>
      <c r="P192" s="9"/>
      <c r="Q192" s="171"/>
    </row>
    <row r="193" spans="1:19" ht="15" customHeight="1">
      <c r="A193" s="318" t="s">
        <v>1327</v>
      </c>
      <c r="B193" s="278" t="s">
        <v>16</v>
      </c>
      <c r="C193" s="242" t="s">
        <v>1354</v>
      </c>
      <c r="D193" s="278" t="s">
        <v>1355</v>
      </c>
      <c r="E193" s="278" t="s">
        <v>1356</v>
      </c>
      <c r="F193" s="171">
        <v>2025</v>
      </c>
      <c r="G193" s="278" t="s">
        <v>21</v>
      </c>
      <c r="H193" s="253" t="s">
        <v>1357</v>
      </c>
      <c r="I193" s="9" t="s">
        <v>35</v>
      </c>
      <c r="J193" s="9" t="s">
        <v>35</v>
      </c>
      <c r="K193" s="171"/>
      <c r="L193" s="9" t="s">
        <v>21</v>
      </c>
      <c r="M193" s="155" t="s">
        <v>1357</v>
      </c>
      <c r="N193" s="16">
        <v>40656206</v>
      </c>
      <c r="O193" s="16" t="s">
        <v>1358</v>
      </c>
      <c r="P193" s="155" t="s">
        <v>1359</v>
      </c>
      <c r="Q193" s="171"/>
    </row>
    <row r="194" spans="1:19" ht="15" hidden="1" customHeight="1">
      <c r="A194" s="318" t="s">
        <v>1327</v>
      </c>
      <c r="B194" s="278" t="s">
        <v>16</v>
      </c>
      <c r="C194" s="242" t="s">
        <v>42</v>
      </c>
      <c r="D194" s="242" t="s">
        <v>1360</v>
      </c>
      <c r="E194" s="278" t="s">
        <v>937</v>
      </c>
      <c r="F194" s="171">
        <v>2026</v>
      </c>
      <c r="G194" s="278"/>
      <c r="H194" s="278"/>
      <c r="I194" s="9" t="s">
        <v>35</v>
      </c>
      <c r="J194" s="9" t="s">
        <v>35</v>
      </c>
      <c r="K194" s="171"/>
      <c r="L194" s="9" t="s">
        <v>1361</v>
      </c>
      <c r="M194" s="220" t="s">
        <v>938</v>
      </c>
      <c r="N194" s="16"/>
      <c r="O194" s="16"/>
      <c r="P194" s="9" t="s">
        <v>1362</v>
      </c>
      <c r="Q194" s="171"/>
    </row>
    <row r="195" spans="1:19" ht="15" customHeight="1">
      <c r="A195" s="318" t="s">
        <v>1327</v>
      </c>
      <c r="B195" s="278" t="s">
        <v>16</v>
      </c>
      <c r="C195" s="242" t="s">
        <v>20</v>
      </c>
      <c r="D195" s="280" t="s">
        <v>1363</v>
      </c>
      <c r="E195" s="278" t="s">
        <v>941</v>
      </c>
      <c r="F195" s="171">
        <v>2025</v>
      </c>
      <c r="G195" s="278"/>
      <c r="H195" s="278"/>
      <c r="I195" s="9" t="s">
        <v>20</v>
      </c>
      <c r="J195" s="9" t="s">
        <v>20</v>
      </c>
      <c r="K195" s="171"/>
      <c r="L195" s="9" t="s">
        <v>21</v>
      </c>
      <c r="M195" s="9"/>
      <c r="N195" s="16"/>
      <c r="O195" s="16"/>
      <c r="P195" s="9"/>
      <c r="Q195" s="171"/>
    </row>
    <row r="196" spans="1:19" ht="15" customHeight="1">
      <c r="A196" s="318" t="s">
        <v>1327</v>
      </c>
      <c r="B196" s="278" t="s">
        <v>16</v>
      </c>
      <c r="C196" s="242" t="s">
        <v>64</v>
      </c>
      <c r="D196" s="242" t="s">
        <v>1364</v>
      </c>
      <c r="E196" s="278" t="s">
        <v>1365</v>
      </c>
      <c r="F196" s="171">
        <v>2025</v>
      </c>
      <c r="G196" s="278"/>
      <c r="H196" s="278"/>
      <c r="I196" s="9" t="s">
        <v>35</v>
      </c>
      <c r="J196" s="9" t="s">
        <v>35</v>
      </c>
      <c r="K196" s="171"/>
      <c r="L196" s="9" t="s">
        <v>21</v>
      </c>
      <c r="M196" s="220" t="s">
        <v>946</v>
      </c>
      <c r="N196" s="16"/>
      <c r="O196" s="16"/>
      <c r="P196" s="9"/>
      <c r="Q196" s="171"/>
    </row>
    <row r="197" spans="1:19" ht="15" customHeight="1">
      <c r="A197" s="318" t="s">
        <v>1327</v>
      </c>
      <c r="B197" s="278" t="s">
        <v>379</v>
      </c>
      <c r="C197" s="242" t="s">
        <v>981</v>
      </c>
      <c r="D197" s="278" t="s">
        <v>982</v>
      </c>
      <c r="E197" s="278" t="s">
        <v>983</v>
      </c>
      <c r="F197" s="171">
        <v>2025</v>
      </c>
      <c r="G197" s="278"/>
      <c r="H197" s="278"/>
      <c r="I197" s="9" t="s">
        <v>35</v>
      </c>
      <c r="J197" s="9" t="s">
        <v>35</v>
      </c>
      <c r="K197" s="171"/>
      <c r="L197" s="9"/>
      <c r="M197" s="9"/>
      <c r="N197" s="16"/>
      <c r="O197" s="16"/>
      <c r="P197" s="16" t="s">
        <v>984</v>
      </c>
      <c r="Q197" s="171"/>
    </row>
    <row r="198" spans="1:19" ht="15" customHeight="1">
      <c r="A198" s="318" t="s">
        <v>1327</v>
      </c>
      <c r="B198" s="166" t="s">
        <v>16</v>
      </c>
      <c r="C198" s="170" t="s">
        <v>948</v>
      </c>
      <c r="D198" s="171" t="s">
        <v>1366</v>
      </c>
      <c r="E198" s="278" t="s">
        <v>950</v>
      </c>
      <c r="F198" s="171">
        <v>2025</v>
      </c>
      <c r="G198" s="278"/>
      <c r="H198" s="229" t="s">
        <v>948</v>
      </c>
      <c r="I198" s="9" t="s">
        <v>35</v>
      </c>
      <c r="J198" s="9" t="s">
        <v>35</v>
      </c>
      <c r="K198" s="171"/>
      <c r="L198" s="9" t="s">
        <v>21</v>
      </c>
      <c r="M198" s="220" t="s">
        <v>948</v>
      </c>
      <c r="N198" s="16">
        <v>40359245</v>
      </c>
      <c r="O198" s="16" t="s">
        <v>951</v>
      </c>
      <c r="P198" s="9"/>
      <c r="Q198" s="171"/>
    </row>
    <row r="199" spans="1:19" ht="15" hidden="1" customHeight="1">
      <c r="A199" s="318" t="s">
        <v>1367</v>
      </c>
      <c r="B199" s="166" t="s">
        <v>16</v>
      </c>
      <c r="C199" s="169" t="s">
        <v>20</v>
      </c>
      <c r="D199" s="173" t="s">
        <v>1368</v>
      </c>
      <c r="E199" s="171" t="s">
        <v>1010</v>
      </c>
      <c r="F199" s="166">
        <v>2022</v>
      </c>
      <c r="G199" s="171" t="s">
        <v>1012</v>
      </c>
      <c r="H199" s="166" t="s">
        <v>1013</v>
      </c>
      <c r="I199" s="166" t="s">
        <v>1014</v>
      </c>
      <c r="J199" s="166" t="s">
        <v>1014</v>
      </c>
      <c r="K199" s="172">
        <v>44925</v>
      </c>
      <c r="L199" s="166" t="s">
        <v>176</v>
      </c>
      <c r="M199" s="168" t="s">
        <v>1015</v>
      </c>
      <c r="N199" s="174">
        <v>36580416</v>
      </c>
      <c r="O199" s="166" t="s">
        <v>1016</v>
      </c>
      <c r="P199" s="174"/>
      <c r="S199" s="232"/>
    </row>
    <row r="200" spans="1:19" ht="15" hidden="1" customHeight="1">
      <c r="A200" s="318" t="s">
        <v>1367</v>
      </c>
      <c r="B200" s="166" t="s">
        <v>16</v>
      </c>
      <c r="C200" s="170" t="s">
        <v>1017</v>
      </c>
      <c r="D200" s="171" t="s">
        <v>1018</v>
      </c>
      <c r="E200" s="171" t="s">
        <v>1019</v>
      </c>
      <c r="F200" s="171">
        <v>2023</v>
      </c>
      <c r="H200" s="175"/>
      <c r="I200" s="171"/>
      <c r="J200" s="171"/>
      <c r="K200" s="176">
        <v>45091</v>
      </c>
      <c r="L200" s="171" t="s">
        <v>21</v>
      </c>
      <c r="M200" s="177" t="s">
        <v>1021</v>
      </c>
      <c r="N200" s="167">
        <v>37314630</v>
      </c>
      <c r="O200" s="168" t="s">
        <v>1022</v>
      </c>
      <c r="Q200" s="168"/>
      <c r="S200" s="232"/>
    </row>
    <row r="201" spans="1:19" ht="15" hidden="1" customHeight="1">
      <c r="A201" s="318" t="s">
        <v>1367</v>
      </c>
      <c r="B201" s="166" t="s">
        <v>16</v>
      </c>
      <c r="C201" s="170" t="s">
        <v>20</v>
      </c>
      <c r="D201" s="171" t="s">
        <v>1369</v>
      </c>
      <c r="E201" s="171" t="s">
        <v>1024</v>
      </c>
      <c r="F201" s="171">
        <v>2023</v>
      </c>
      <c r="G201" s="171" t="s">
        <v>1026</v>
      </c>
      <c r="H201" s="171" t="s">
        <v>1027</v>
      </c>
      <c r="I201" s="171" t="s">
        <v>1014</v>
      </c>
      <c r="J201" s="171" t="s">
        <v>1014</v>
      </c>
      <c r="K201" s="178">
        <v>45135</v>
      </c>
      <c r="L201" s="171" t="s">
        <v>440</v>
      </c>
      <c r="M201" s="168" t="s">
        <v>1028</v>
      </c>
      <c r="N201" s="174">
        <v>37498796</v>
      </c>
      <c r="O201" s="166" t="s">
        <v>1029</v>
      </c>
      <c r="P201" s="174"/>
      <c r="S201" s="232"/>
    </row>
    <row r="202" spans="1:19" ht="15" hidden="1" customHeight="1">
      <c r="A202" s="318" t="s">
        <v>1367</v>
      </c>
      <c r="B202" s="166" t="s">
        <v>16</v>
      </c>
      <c r="C202" s="169" t="s">
        <v>20</v>
      </c>
      <c r="D202" s="173" t="s">
        <v>1370</v>
      </c>
      <c r="E202" s="171" t="s">
        <v>1031</v>
      </c>
      <c r="F202" s="166">
        <v>2023</v>
      </c>
      <c r="G202" s="171" t="s">
        <v>638</v>
      </c>
      <c r="H202" s="171" t="s">
        <v>1033</v>
      </c>
      <c r="I202" s="171" t="s">
        <v>1014</v>
      </c>
      <c r="J202" s="171" t="s">
        <v>1014</v>
      </c>
      <c r="K202" s="172">
        <v>45177</v>
      </c>
      <c r="L202" s="171" t="s">
        <v>21</v>
      </c>
      <c r="M202" s="168" t="s">
        <v>1034</v>
      </c>
      <c r="N202" s="167">
        <v>37676838</v>
      </c>
      <c r="O202" s="166" t="s">
        <v>1035</v>
      </c>
      <c r="S202" s="232"/>
    </row>
    <row r="203" spans="1:19" ht="15" hidden="1" customHeight="1">
      <c r="A203" s="318" t="s">
        <v>1367</v>
      </c>
      <c r="B203" s="168" t="s">
        <v>16</v>
      </c>
      <c r="C203" s="170" t="s">
        <v>1036</v>
      </c>
      <c r="D203" s="171" t="s">
        <v>1037</v>
      </c>
      <c r="E203" s="171" t="s">
        <v>1038</v>
      </c>
      <c r="I203" s="166" t="s">
        <v>35</v>
      </c>
      <c r="J203" s="166" t="s">
        <v>35</v>
      </c>
      <c r="K203" s="172">
        <v>45819</v>
      </c>
      <c r="L203" s="231" t="s">
        <v>21</v>
      </c>
      <c r="M203" s="171" t="s">
        <v>1039</v>
      </c>
      <c r="N203" s="167">
        <v>40498650</v>
      </c>
      <c r="O203" s="166" t="s">
        <v>1040</v>
      </c>
      <c r="S203" s="232"/>
    </row>
    <row r="204" spans="1:19" ht="15" hidden="1" customHeight="1">
      <c r="A204" s="318" t="s">
        <v>1371</v>
      </c>
      <c r="B204" s="166" t="s">
        <v>16</v>
      </c>
      <c r="C204" s="169" t="s">
        <v>64</v>
      </c>
      <c r="D204" s="179" t="s">
        <v>1049</v>
      </c>
      <c r="E204" s="179" t="s">
        <v>1050</v>
      </c>
      <c r="F204" s="168">
        <v>2024</v>
      </c>
      <c r="G204" s="168" t="s">
        <v>35</v>
      </c>
      <c r="H204" s="168" t="s">
        <v>21</v>
      </c>
      <c r="I204" s="168" t="s">
        <v>35</v>
      </c>
      <c r="J204" s="168" t="s">
        <v>35</v>
      </c>
      <c r="K204" s="168"/>
      <c r="L204" s="168" t="s">
        <v>21</v>
      </c>
      <c r="M204" s="179" t="s">
        <v>1051</v>
      </c>
      <c r="N204" s="168">
        <v>38154993</v>
      </c>
      <c r="O204" s="179" t="s">
        <v>1052</v>
      </c>
    </row>
    <row r="205" spans="1:19" ht="15" customHeight="1">
      <c r="A205" s="318" t="s">
        <v>1371</v>
      </c>
      <c r="B205" s="166" t="s">
        <v>379</v>
      </c>
      <c r="C205" s="180" t="s">
        <v>1001</v>
      </c>
      <c r="D205" s="179" t="s">
        <v>1053</v>
      </c>
      <c r="E205" s="181" t="s">
        <v>1054</v>
      </c>
      <c r="F205" s="168">
        <v>2025</v>
      </c>
      <c r="G205" s="168" t="s">
        <v>35</v>
      </c>
      <c r="H205" s="168" t="s">
        <v>176</v>
      </c>
      <c r="I205" s="168" t="s">
        <v>35</v>
      </c>
      <c r="J205" s="168" t="s">
        <v>35</v>
      </c>
      <c r="K205" s="168"/>
      <c r="L205" s="168" t="s">
        <v>176</v>
      </c>
      <c r="M205" s="179"/>
      <c r="N205" s="168"/>
      <c r="O205" s="168"/>
    </row>
    <row r="206" spans="1:19" ht="15" customHeight="1">
      <c r="A206" s="318" t="s">
        <v>1371</v>
      </c>
      <c r="B206" s="166" t="s">
        <v>379</v>
      </c>
      <c r="C206" s="180" t="s">
        <v>103</v>
      </c>
      <c r="D206" s="181" t="s">
        <v>1055</v>
      </c>
      <c r="E206" s="181" t="s">
        <v>1056</v>
      </c>
      <c r="F206" s="168">
        <v>2025</v>
      </c>
      <c r="G206" s="168" t="s">
        <v>35</v>
      </c>
      <c r="H206" s="168" t="s">
        <v>176</v>
      </c>
      <c r="I206" s="168" t="s">
        <v>35</v>
      </c>
      <c r="J206" s="168" t="s">
        <v>35</v>
      </c>
      <c r="K206" s="168"/>
      <c r="L206" s="168" t="s">
        <v>176</v>
      </c>
      <c r="M206" s="179"/>
      <c r="N206" s="168"/>
      <c r="O206" s="168"/>
    </row>
    <row r="207" spans="1:19" ht="15" customHeight="1">
      <c r="A207" s="318" t="s">
        <v>1371</v>
      </c>
      <c r="B207" s="171" t="s">
        <v>16</v>
      </c>
      <c r="C207" s="170" t="s">
        <v>1057</v>
      </c>
      <c r="D207" s="182" t="s">
        <v>1058</v>
      </c>
      <c r="E207" s="182" t="s">
        <v>1059</v>
      </c>
      <c r="F207" s="168">
        <v>2025</v>
      </c>
      <c r="G207" s="168" t="s">
        <v>35</v>
      </c>
      <c r="H207" s="168" t="s">
        <v>21</v>
      </c>
      <c r="I207" s="168" t="s">
        <v>35</v>
      </c>
      <c r="J207" s="168" t="s">
        <v>35</v>
      </c>
      <c r="K207" s="168"/>
      <c r="L207" s="168" t="s">
        <v>21</v>
      </c>
      <c r="M207" s="179" t="s">
        <v>1061</v>
      </c>
      <c r="N207" s="168">
        <v>40187801</v>
      </c>
      <c r="O207" s="169"/>
    </row>
    <row r="208" spans="1:19" ht="15" customHeight="1">
      <c r="A208" s="318" t="s">
        <v>1371</v>
      </c>
      <c r="B208" s="166" t="s">
        <v>379</v>
      </c>
      <c r="C208" s="170" t="s">
        <v>1057</v>
      </c>
      <c r="D208" s="179" t="s">
        <v>1062</v>
      </c>
      <c r="E208" s="183" t="s">
        <v>1063</v>
      </c>
      <c r="F208" s="168">
        <v>2025</v>
      </c>
      <c r="G208" s="168" t="s">
        <v>35</v>
      </c>
      <c r="H208" s="168" t="s">
        <v>176</v>
      </c>
      <c r="I208" s="168" t="s">
        <v>35</v>
      </c>
      <c r="J208" s="168" t="s">
        <v>35</v>
      </c>
      <c r="K208" s="168"/>
      <c r="L208" s="168" t="s">
        <v>176</v>
      </c>
      <c r="M208" s="179" t="s">
        <v>1064</v>
      </c>
      <c r="N208" s="168">
        <v>40651498</v>
      </c>
      <c r="O208" s="169"/>
    </row>
    <row r="209" spans="1:16" ht="15" hidden="1" customHeight="1">
      <c r="A209" s="318" t="s">
        <v>1372</v>
      </c>
      <c r="B209" s="171" t="s">
        <v>16</v>
      </c>
      <c r="C209" s="170" t="s">
        <v>64</v>
      </c>
      <c r="D209" s="171" t="s">
        <v>1112</v>
      </c>
      <c r="E209" s="171" t="s">
        <v>1113</v>
      </c>
      <c r="F209" s="171">
        <v>2024</v>
      </c>
      <c r="G209" s="171"/>
      <c r="H209" s="171"/>
      <c r="I209" s="171" t="s">
        <v>35</v>
      </c>
      <c r="J209" s="171" t="s">
        <v>35</v>
      </c>
      <c r="K209" s="178">
        <v>45337</v>
      </c>
      <c r="L209" s="171" t="s">
        <v>21</v>
      </c>
      <c r="M209" s="171" t="s">
        <v>1114</v>
      </c>
      <c r="N209" s="171">
        <v>38360476</v>
      </c>
      <c r="O209" s="222" t="s">
        <v>1115</v>
      </c>
      <c r="P209" s="171"/>
    </row>
    <row r="210" spans="1:16" ht="15" hidden="1" customHeight="1">
      <c r="A210" s="318" t="s">
        <v>1373</v>
      </c>
      <c r="B210" s="233" t="s">
        <v>16</v>
      </c>
      <c r="C210" s="302" t="s">
        <v>1117</v>
      </c>
      <c r="D210" s="234" t="s">
        <v>1118</v>
      </c>
      <c r="E210" s="234" t="s">
        <v>1119</v>
      </c>
      <c r="F210" s="233">
        <v>2010</v>
      </c>
      <c r="G210" s="233"/>
      <c r="H210" s="234" t="s">
        <v>1120</v>
      </c>
      <c r="I210" s="11"/>
      <c r="J210" s="11"/>
      <c r="K210" s="303"/>
      <c r="L210" s="11"/>
      <c r="M210" s="16" t="s">
        <v>1120</v>
      </c>
      <c r="N210" s="16">
        <v>20929352</v>
      </c>
      <c r="O210" s="47"/>
      <c r="P210" s="16"/>
    </row>
    <row r="211" spans="1:16" ht="15" hidden="1" customHeight="1">
      <c r="A211" s="318" t="s">
        <v>1373</v>
      </c>
      <c r="B211" s="233"/>
      <c r="C211" s="302" t="s">
        <v>1121</v>
      </c>
      <c r="D211" s="234" t="s">
        <v>1122</v>
      </c>
      <c r="E211" s="234" t="s">
        <v>1123</v>
      </c>
      <c r="F211" s="233">
        <v>2013</v>
      </c>
      <c r="G211" s="233"/>
      <c r="H211" s="234" t="s">
        <v>1125</v>
      </c>
      <c r="I211" s="11"/>
      <c r="J211" s="11"/>
      <c r="K211" s="234"/>
      <c r="L211" s="11"/>
      <c r="M211" s="16" t="s">
        <v>1125</v>
      </c>
      <c r="N211" s="16">
        <v>23965729</v>
      </c>
      <c r="O211" s="16" t="s">
        <v>1126</v>
      </c>
      <c r="P211" s="16"/>
    </row>
    <row r="212" spans="1:16" ht="15" hidden="1" customHeight="1">
      <c r="A212" s="318" t="s">
        <v>1373</v>
      </c>
      <c r="B212" s="233"/>
      <c r="C212" s="302" t="s">
        <v>1127</v>
      </c>
      <c r="D212" s="234" t="s">
        <v>1128</v>
      </c>
      <c r="E212" s="234" t="s">
        <v>1129</v>
      </c>
      <c r="F212" s="233">
        <v>2013</v>
      </c>
      <c r="G212" s="233"/>
      <c r="H212" s="234" t="s">
        <v>1131</v>
      </c>
      <c r="I212" s="11"/>
      <c r="J212" s="11"/>
      <c r="K212" s="234"/>
      <c r="L212" s="11"/>
      <c r="M212" s="16" t="s">
        <v>1131</v>
      </c>
      <c r="N212" s="16">
        <v>23442590</v>
      </c>
      <c r="O212" s="16" t="s">
        <v>1132</v>
      </c>
      <c r="P212" s="16"/>
    </row>
    <row r="213" spans="1:16" ht="15" hidden="1" customHeight="1">
      <c r="A213" s="318" t="s">
        <v>1373</v>
      </c>
      <c r="B213" s="234"/>
      <c r="C213" s="302" t="s">
        <v>1133</v>
      </c>
      <c r="D213" s="234" t="s">
        <v>1134</v>
      </c>
      <c r="E213" s="234" t="s">
        <v>1135</v>
      </c>
      <c r="F213" s="233">
        <v>2013</v>
      </c>
      <c r="G213" s="233"/>
      <c r="H213" s="234" t="s">
        <v>1138</v>
      </c>
      <c r="I213" s="11"/>
      <c r="J213" s="11"/>
      <c r="K213" s="234"/>
      <c r="L213" s="11"/>
      <c r="M213" s="16" t="s">
        <v>1138</v>
      </c>
      <c r="N213" s="16">
        <v>23099425</v>
      </c>
      <c r="O213" s="16" t="s">
        <v>1139</v>
      </c>
      <c r="P213" s="16"/>
    </row>
    <row r="214" spans="1:16" ht="15" hidden="1" customHeight="1">
      <c r="A214" s="318" t="s">
        <v>1373</v>
      </c>
      <c r="B214" s="233"/>
      <c r="C214" s="302" t="s">
        <v>1140</v>
      </c>
      <c r="D214" s="234" t="s">
        <v>1141</v>
      </c>
      <c r="E214" s="234" t="s">
        <v>1142</v>
      </c>
      <c r="F214" s="233">
        <v>2014</v>
      </c>
      <c r="G214" s="233"/>
      <c r="H214" s="234" t="s">
        <v>1144</v>
      </c>
      <c r="I214" s="11"/>
      <c r="J214" s="11"/>
      <c r="K214" s="234"/>
      <c r="L214" s="11"/>
      <c r="M214" s="16" t="s">
        <v>1144</v>
      </c>
      <c r="N214" s="16">
        <v>25734162</v>
      </c>
      <c r="O214" s="16" t="s">
        <v>1145</v>
      </c>
      <c r="P214" s="11"/>
    </row>
    <row r="215" spans="1:16" ht="15" hidden="1" customHeight="1">
      <c r="A215" s="318" t="s">
        <v>1373</v>
      </c>
      <c r="B215" s="233"/>
      <c r="C215" s="302" t="s">
        <v>64</v>
      </c>
      <c r="D215" s="234" t="s">
        <v>1146</v>
      </c>
      <c r="E215" s="234" t="s">
        <v>1147</v>
      </c>
      <c r="F215" s="233">
        <v>2014</v>
      </c>
      <c r="G215" s="233"/>
      <c r="H215" s="234" t="s">
        <v>1149</v>
      </c>
      <c r="I215" s="11"/>
      <c r="J215" s="11"/>
      <c r="K215" s="234"/>
      <c r="L215" s="11"/>
      <c r="M215" s="16" t="s">
        <v>1149</v>
      </c>
      <c r="N215" s="16">
        <v>24280280</v>
      </c>
      <c r="O215" s="16" t="s">
        <v>1150</v>
      </c>
      <c r="P215" s="11"/>
    </row>
    <row r="216" spans="1:16" ht="15" hidden="1" customHeight="1">
      <c r="A216" s="318" t="s">
        <v>1373</v>
      </c>
      <c r="B216" s="235"/>
      <c r="C216" s="302" t="s">
        <v>64</v>
      </c>
      <c r="D216" s="234" t="s">
        <v>1146</v>
      </c>
      <c r="E216" s="234" t="s">
        <v>1147</v>
      </c>
      <c r="F216" s="233">
        <v>2014</v>
      </c>
      <c r="G216" s="302"/>
      <c r="H216" s="303"/>
      <c r="I216" s="29"/>
      <c r="J216" s="29"/>
      <c r="K216" s="237"/>
      <c r="L216" s="29"/>
      <c r="M216" s="47"/>
      <c r="N216" s="47"/>
      <c r="O216" s="47"/>
      <c r="P216" s="29" t="s">
        <v>1374</v>
      </c>
    </row>
    <row r="217" spans="1:16" ht="15" hidden="1" customHeight="1">
      <c r="A217" s="318" t="s">
        <v>1373</v>
      </c>
      <c r="B217" s="233"/>
      <c r="C217" s="302" t="s">
        <v>1117</v>
      </c>
      <c r="D217" s="233" t="s">
        <v>1152</v>
      </c>
      <c r="E217" s="233" t="s">
        <v>1153</v>
      </c>
      <c r="F217" s="233">
        <v>2016</v>
      </c>
      <c r="G217" s="233"/>
      <c r="H217" s="233" t="s">
        <v>1155</v>
      </c>
      <c r="I217" s="11"/>
      <c r="J217" s="11"/>
      <c r="K217" s="317"/>
      <c r="L217" s="11"/>
      <c r="M217" s="11" t="s">
        <v>1155</v>
      </c>
      <c r="N217" s="11">
        <v>26597262</v>
      </c>
      <c r="O217" s="11" t="s">
        <v>1156</v>
      </c>
      <c r="P217" s="11"/>
    </row>
    <row r="218" spans="1:16" ht="15" hidden="1" customHeight="1">
      <c r="A218" s="318" t="s">
        <v>1373</v>
      </c>
      <c r="B218" s="236"/>
      <c r="C218" s="302" t="s">
        <v>1157</v>
      </c>
      <c r="D218" s="234" t="s">
        <v>1158</v>
      </c>
      <c r="E218" s="234" t="s">
        <v>1159</v>
      </c>
      <c r="F218" s="233">
        <v>2016</v>
      </c>
      <c r="G218" s="233"/>
      <c r="H218" s="234"/>
      <c r="I218" s="11"/>
      <c r="J218" s="11"/>
      <c r="K218" s="237"/>
      <c r="L218" s="11"/>
      <c r="M218" s="16"/>
      <c r="N218" s="16"/>
      <c r="O218" s="16"/>
      <c r="P218" s="11"/>
    </row>
    <row r="219" spans="1:16" ht="15" hidden="1" customHeight="1">
      <c r="A219" s="318" t="s">
        <v>1373</v>
      </c>
      <c r="B219" s="233"/>
      <c r="C219" s="302" t="s">
        <v>64</v>
      </c>
      <c r="D219" s="234" t="s">
        <v>1161</v>
      </c>
      <c r="E219" s="234" t="s">
        <v>1162</v>
      </c>
      <c r="F219" s="233">
        <v>2016</v>
      </c>
      <c r="G219" s="234"/>
      <c r="H219" s="234" t="s">
        <v>1163</v>
      </c>
      <c r="I219" s="20"/>
      <c r="J219" s="20"/>
      <c r="K219" s="237"/>
      <c r="L219" s="16"/>
      <c r="M219" s="16" t="s">
        <v>1163</v>
      </c>
      <c r="N219" s="219">
        <v>27670074</v>
      </c>
      <c r="O219" s="16" t="s">
        <v>1164</v>
      </c>
      <c r="P219" s="11"/>
    </row>
    <row r="220" spans="1:16" ht="15" hidden="1" customHeight="1">
      <c r="A220" s="318" t="s">
        <v>1373</v>
      </c>
      <c r="B220" s="237"/>
      <c r="C220" s="302" t="s">
        <v>1165</v>
      </c>
      <c r="D220" s="234" t="s">
        <v>1166</v>
      </c>
      <c r="E220" s="234" t="s">
        <v>1167</v>
      </c>
      <c r="F220" s="233">
        <v>2016</v>
      </c>
      <c r="G220" s="233"/>
      <c r="H220" s="234" t="s">
        <v>1168</v>
      </c>
      <c r="I220" s="11"/>
      <c r="J220" s="11"/>
      <c r="K220" s="237"/>
      <c r="L220" s="11"/>
      <c r="M220" s="16" t="s">
        <v>1168</v>
      </c>
      <c r="N220" s="16">
        <v>27227293</v>
      </c>
      <c r="O220" s="16"/>
      <c r="P220" s="11"/>
    </row>
    <row r="221" spans="1:16" ht="15" hidden="1" customHeight="1">
      <c r="A221" s="318" t="s">
        <v>1373</v>
      </c>
      <c r="B221" s="233"/>
      <c r="C221" s="302" t="s">
        <v>1165</v>
      </c>
      <c r="D221" s="234" t="s">
        <v>1166</v>
      </c>
      <c r="E221" s="234" t="s">
        <v>1167</v>
      </c>
      <c r="F221" s="233">
        <v>2016</v>
      </c>
      <c r="G221" s="302"/>
      <c r="H221" s="303"/>
      <c r="I221" s="29"/>
      <c r="J221" s="29"/>
      <c r="K221" s="237"/>
      <c r="L221" s="29"/>
      <c r="M221" s="47"/>
      <c r="N221" s="47"/>
      <c r="O221" s="47"/>
      <c r="P221" s="29" t="s">
        <v>1374</v>
      </c>
    </row>
    <row r="222" spans="1:16" ht="15" hidden="1" customHeight="1">
      <c r="A222" s="318" t="s">
        <v>1373</v>
      </c>
      <c r="B222" s="238"/>
      <c r="C222" s="302" t="s">
        <v>1169</v>
      </c>
      <c r="D222" s="234" t="s">
        <v>1170</v>
      </c>
      <c r="E222" s="234" t="s">
        <v>1171</v>
      </c>
      <c r="F222" s="233">
        <v>2017</v>
      </c>
      <c r="G222" s="233"/>
      <c r="H222" s="234" t="s">
        <v>1172</v>
      </c>
      <c r="I222" s="11"/>
      <c r="J222" s="11"/>
      <c r="K222" s="237"/>
      <c r="L222" s="11"/>
      <c r="M222" s="16" t="s">
        <v>1172</v>
      </c>
      <c r="N222" s="16">
        <v>28338902</v>
      </c>
      <c r="O222" s="16" t="s">
        <v>1173</v>
      </c>
      <c r="P222" s="11"/>
    </row>
    <row r="223" spans="1:16" ht="15" hidden="1" customHeight="1">
      <c r="A223" s="318" t="s">
        <v>1373</v>
      </c>
      <c r="B223" s="233"/>
      <c r="C223" s="302" t="s">
        <v>1174</v>
      </c>
      <c r="D223" s="234" t="s">
        <v>1175</v>
      </c>
      <c r="E223" s="234" t="s">
        <v>1176</v>
      </c>
      <c r="F223" s="233">
        <v>2017</v>
      </c>
      <c r="G223" s="233"/>
      <c r="H223" s="234" t="s">
        <v>1178</v>
      </c>
      <c r="I223" s="11"/>
      <c r="J223" s="11"/>
      <c r="K223" s="237"/>
      <c r="L223" s="11"/>
      <c r="M223" s="16" t="s">
        <v>1178</v>
      </c>
      <c r="N223" s="16">
        <v>28505632</v>
      </c>
      <c r="O223" s="16" t="s">
        <v>1179</v>
      </c>
      <c r="P223" s="11"/>
    </row>
    <row r="224" spans="1:16" ht="15" hidden="1" customHeight="1">
      <c r="A224" s="318" t="s">
        <v>1373</v>
      </c>
      <c r="B224" s="233"/>
      <c r="C224" s="302" t="s">
        <v>1140</v>
      </c>
      <c r="D224" s="234" t="s">
        <v>1180</v>
      </c>
      <c r="E224" s="234" t="s">
        <v>1181</v>
      </c>
      <c r="F224" s="233">
        <v>2017</v>
      </c>
      <c r="G224" s="233"/>
      <c r="H224" s="234" t="s">
        <v>1183</v>
      </c>
      <c r="I224" s="11"/>
      <c r="J224" s="11"/>
      <c r="K224" s="237"/>
      <c r="L224" s="11"/>
      <c r="M224" s="16" t="s">
        <v>1183</v>
      </c>
      <c r="N224" s="16">
        <v>29308410</v>
      </c>
      <c r="O224" s="16" t="s">
        <v>1184</v>
      </c>
      <c r="P224" s="11"/>
    </row>
    <row r="225" spans="1:16" ht="15" hidden="1" customHeight="1">
      <c r="A225" s="318" t="s">
        <v>1373</v>
      </c>
      <c r="B225" s="233"/>
      <c r="C225" s="302" t="s">
        <v>1140</v>
      </c>
      <c r="D225" s="234" t="s">
        <v>1180</v>
      </c>
      <c r="E225" s="234" t="s">
        <v>1181</v>
      </c>
      <c r="F225" s="233">
        <v>2017</v>
      </c>
      <c r="G225" s="302"/>
      <c r="H225" s="303"/>
      <c r="I225" s="29"/>
      <c r="J225" s="29"/>
      <c r="K225" s="237"/>
      <c r="L225" s="29"/>
      <c r="M225" s="47"/>
      <c r="N225" s="47"/>
      <c r="O225" s="47"/>
      <c r="P225" s="29" t="s">
        <v>1374</v>
      </c>
    </row>
    <row r="226" spans="1:16" ht="15" hidden="1" customHeight="1">
      <c r="A226" s="318" t="s">
        <v>1373</v>
      </c>
      <c r="B226" s="233"/>
      <c r="C226" s="302" t="s">
        <v>64</v>
      </c>
      <c r="D226" s="234" t="s">
        <v>1185</v>
      </c>
      <c r="E226" s="234" t="s">
        <v>1186</v>
      </c>
      <c r="F226" s="233">
        <v>2017</v>
      </c>
      <c r="G226" s="233"/>
      <c r="H226" s="234"/>
      <c r="I226" s="11"/>
      <c r="J226" s="11"/>
      <c r="K226" s="234"/>
      <c r="L226" s="11"/>
      <c r="M226" s="16"/>
      <c r="N226" s="16"/>
      <c r="O226" s="16"/>
      <c r="P226" s="11"/>
    </row>
    <row r="227" spans="1:16" ht="15" hidden="1" customHeight="1">
      <c r="A227" s="318" t="s">
        <v>1373</v>
      </c>
      <c r="B227" s="233"/>
      <c r="C227" s="302" t="s">
        <v>1188</v>
      </c>
      <c r="D227" s="234" t="s">
        <v>1189</v>
      </c>
      <c r="E227" s="234" t="s">
        <v>1190</v>
      </c>
      <c r="F227" s="233">
        <v>2017</v>
      </c>
      <c r="G227" s="233"/>
      <c r="H227" s="234"/>
      <c r="I227" s="11"/>
      <c r="J227" s="11"/>
      <c r="K227" s="234"/>
      <c r="L227" s="11"/>
      <c r="M227" s="16"/>
      <c r="N227" s="16"/>
      <c r="O227" s="16"/>
      <c r="P227" s="11"/>
    </row>
    <row r="228" spans="1:16" ht="15" hidden="1" customHeight="1">
      <c r="A228" s="318" t="s">
        <v>1373</v>
      </c>
      <c r="B228" s="233"/>
      <c r="C228" s="302" t="s">
        <v>1191</v>
      </c>
      <c r="D228" s="234" t="s">
        <v>1192</v>
      </c>
      <c r="E228" s="234" t="s">
        <v>1193</v>
      </c>
      <c r="F228" s="233">
        <v>2018</v>
      </c>
      <c r="G228" s="233"/>
      <c r="H228" s="234"/>
      <c r="I228" s="11"/>
      <c r="J228" s="11"/>
      <c r="K228" s="234"/>
      <c r="L228" s="11"/>
      <c r="M228" s="16"/>
      <c r="N228" s="16"/>
      <c r="O228" s="16"/>
      <c r="P228" s="11"/>
    </row>
    <row r="229" spans="1:16" ht="15" hidden="1" customHeight="1">
      <c r="A229" s="318" t="s">
        <v>1373</v>
      </c>
      <c r="B229" s="233"/>
      <c r="C229" s="302" t="s">
        <v>1188</v>
      </c>
      <c r="D229" s="234" t="s">
        <v>1195</v>
      </c>
      <c r="E229" s="234" t="s">
        <v>1196</v>
      </c>
      <c r="F229" s="233">
        <v>2018</v>
      </c>
      <c r="G229" s="233"/>
      <c r="H229" s="234"/>
      <c r="I229" s="11"/>
      <c r="J229" s="11"/>
      <c r="K229" s="234"/>
      <c r="L229" s="11"/>
      <c r="M229" s="16"/>
      <c r="N229" s="16"/>
      <c r="O229" s="16"/>
      <c r="P229" s="11"/>
    </row>
    <row r="230" spans="1:16" ht="15" hidden="1" customHeight="1">
      <c r="A230" s="318" t="s">
        <v>1373</v>
      </c>
      <c r="B230" s="233"/>
      <c r="C230" s="302" t="s">
        <v>32</v>
      </c>
      <c r="D230" s="234" t="s">
        <v>1198</v>
      </c>
      <c r="E230" s="234" t="s">
        <v>1199</v>
      </c>
      <c r="F230" s="233">
        <v>2018</v>
      </c>
      <c r="G230" s="233"/>
      <c r="H230" s="234"/>
      <c r="I230" s="11"/>
      <c r="J230" s="11"/>
      <c r="K230" s="234"/>
      <c r="L230" s="11"/>
      <c r="M230" s="16"/>
      <c r="N230" s="16"/>
      <c r="O230" s="16"/>
      <c r="P230" s="11"/>
    </row>
    <row r="231" spans="1:16" ht="15" hidden="1" customHeight="1">
      <c r="A231" s="318" t="s">
        <v>1373</v>
      </c>
      <c r="B231" s="233"/>
      <c r="C231" s="302" t="s">
        <v>64</v>
      </c>
      <c r="D231" s="234" t="s">
        <v>1201</v>
      </c>
      <c r="E231" s="234" t="s">
        <v>1202</v>
      </c>
      <c r="F231" s="233">
        <v>2018</v>
      </c>
      <c r="G231" s="233"/>
      <c r="H231" s="234"/>
      <c r="I231" s="11"/>
      <c r="J231" s="11"/>
      <c r="K231" s="234"/>
      <c r="L231" s="11"/>
      <c r="M231" s="16"/>
      <c r="N231" s="16"/>
      <c r="O231" s="16"/>
      <c r="P231" s="11"/>
    </row>
    <row r="232" spans="1:16" ht="15" hidden="1" customHeight="1">
      <c r="A232" s="318" t="s">
        <v>1373</v>
      </c>
      <c r="B232" s="233"/>
      <c r="C232" s="302" t="s">
        <v>64</v>
      </c>
      <c r="D232" s="234" t="s">
        <v>1204</v>
      </c>
      <c r="E232" s="234" t="s">
        <v>1205</v>
      </c>
      <c r="F232" s="233">
        <v>2018</v>
      </c>
      <c r="G232" s="233"/>
      <c r="H232" s="234"/>
      <c r="I232" s="11"/>
      <c r="J232" s="11"/>
      <c r="K232" s="234"/>
      <c r="L232" s="11"/>
      <c r="M232" s="16"/>
      <c r="N232" s="16"/>
      <c r="O232" s="16"/>
      <c r="P232" s="11"/>
    </row>
    <row r="233" spans="1:16" ht="15" hidden="1" customHeight="1">
      <c r="A233" s="318" t="s">
        <v>1373</v>
      </c>
      <c r="B233" s="233"/>
      <c r="C233" s="302" t="s">
        <v>64</v>
      </c>
      <c r="D233" s="234" t="s">
        <v>1207</v>
      </c>
      <c r="E233" s="234" t="s">
        <v>1208</v>
      </c>
      <c r="F233" s="233">
        <v>2018</v>
      </c>
      <c r="G233" s="233"/>
      <c r="H233" s="234"/>
      <c r="I233" s="11"/>
      <c r="J233" s="11"/>
      <c r="K233" s="234"/>
      <c r="L233" s="11"/>
      <c r="M233" s="16"/>
      <c r="N233" s="16"/>
      <c r="O233" s="16"/>
      <c r="P233" s="11"/>
    </row>
    <row r="234" spans="1:16" ht="15" hidden="1" customHeight="1">
      <c r="A234" s="318" t="s">
        <v>1373</v>
      </c>
      <c r="B234" s="233" t="s">
        <v>16</v>
      </c>
      <c r="C234" s="302" t="s">
        <v>64</v>
      </c>
      <c r="D234" s="234" t="s">
        <v>1210</v>
      </c>
      <c r="E234" s="234" t="s">
        <v>1211</v>
      </c>
      <c r="F234" s="233">
        <v>2020</v>
      </c>
      <c r="G234" s="234"/>
      <c r="H234" s="234" t="s">
        <v>1213</v>
      </c>
      <c r="I234" s="16" t="s">
        <v>35</v>
      </c>
      <c r="J234" s="16" t="s">
        <v>35</v>
      </c>
      <c r="K234" s="234"/>
      <c r="L234" s="16"/>
      <c r="M234" s="16" t="s">
        <v>1213</v>
      </c>
      <c r="N234" s="16">
        <v>32586760</v>
      </c>
      <c r="O234" s="16" t="s">
        <v>1214</v>
      </c>
      <c r="P234" s="11"/>
    </row>
    <row r="235" spans="1:16" ht="15" hidden="1" customHeight="1">
      <c r="A235" s="318" t="s">
        <v>1373</v>
      </c>
      <c r="B235" s="233" t="s">
        <v>16</v>
      </c>
      <c r="C235" s="302" t="s">
        <v>1215</v>
      </c>
      <c r="D235" s="234" t="s">
        <v>1216</v>
      </c>
      <c r="E235" s="234" t="s">
        <v>1217</v>
      </c>
      <c r="F235" s="233">
        <v>2020</v>
      </c>
      <c r="G235" s="233"/>
      <c r="H235" s="234" t="s">
        <v>1219</v>
      </c>
      <c r="I235" s="16" t="s">
        <v>35</v>
      </c>
      <c r="J235" s="16" t="s">
        <v>35</v>
      </c>
      <c r="K235" s="234"/>
      <c r="L235" s="11"/>
      <c r="M235" s="16" t="s">
        <v>1219</v>
      </c>
      <c r="N235" s="16">
        <v>31816033</v>
      </c>
      <c r="O235" s="16" t="s">
        <v>1220</v>
      </c>
      <c r="P235" s="11"/>
    </row>
    <row r="236" spans="1:16" ht="15" hidden="1" customHeight="1">
      <c r="A236" s="318" t="s">
        <v>1373</v>
      </c>
      <c r="B236" s="233" t="s">
        <v>16</v>
      </c>
      <c r="C236" s="302" t="s">
        <v>64</v>
      </c>
      <c r="D236" s="234" t="s">
        <v>1221</v>
      </c>
      <c r="E236" s="234" t="s">
        <v>1222</v>
      </c>
      <c r="F236" s="233">
        <v>2020</v>
      </c>
      <c r="G236" s="234"/>
      <c r="H236" s="234" t="s">
        <v>1224</v>
      </c>
      <c r="I236" s="16" t="s">
        <v>35</v>
      </c>
      <c r="J236" s="16" t="s">
        <v>35</v>
      </c>
      <c r="K236" s="303"/>
      <c r="L236" s="16"/>
      <c r="M236" s="16" t="s">
        <v>1224</v>
      </c>
      <c r="N236" s="16">
        <v>31883808</v>
      </c>
      <c r="O236" s="47"/>
      <c r="P236" s="11"/>
    </row>
    <row r="237" spans="1:16" ht="15" hidden="1" customHeight="1">
      <c r="A237" s="318" t="s">
        <v>1373</v>
      </c>
      <c r="B237" s="233" t="s">
        <v>16</v>
      </c>
      <c r="C237" s="302" t="s">
        <v>1225</v>
      </c>
      <c r="D237" s="234" t="s">
        <v>1226</v>
      </c>
      <c r="E237" s="234" t="s">
        <v>1227</v>
      </c>
      <c r="F237" s="233">
        <v>2020</v>
      </c>
      <c r="G237" s="233"/>
      <c r="H237" s="234" t="s">
        <v>1229</v>
      </c>
      <c r="I237" s="16" t="s">
        <v>35</v>
      </c>
      <c r="J237" s="16" t="s">
        <v>35</v>
      </c>
      <c r="K237" s="234"/>
      <c r="L237" s="11"/>
      <c r="M237" s="16" t="s">
        <v>1229</v>
      </c>
      <c r="N237" s="16">
        <v>32095076</v>
      </c>
      <c r="O237" s="16" t="s">
        <v>1230</v>
      </c>
      <c r="P237" s="11"/>
    </row>
    <row r="238" spans="1:16" ht="15" hidden="1" customHeight="1">
      <c r="A238" s="318" t="s">
        <v>1373</v>
      </c>
      <c r="B238" s="233" t="s">
        <v>16</v>
      </c>
      <c r="C238" s="302" t="s">
        <v>1191</v>
      </c>
      <c r="D238" s="234" t="s">
        <v>1231</v>
      </c>
      <c r="E238" s="234" t="s">
        <v>1232</v>
      </c>
      <c r="F238" s="233">
        <v>2021</v>
      </c>
      <c r="G238" s="233"/>
      <c r="H238" s="234" t="s">
        <v>1234</v>
      </c>
      <c r="I238" s="16" t="s">
        <v>35</v>
      </c>
      <c r="J238" s="16" t="s">
        <v>35</v>
      </c>
      <c r="K238" s="303"/>
      <c r="L238" s="11"/>
      <c r="M238" s="16" t="s">
        <v>1234</v>
      </c>
      <c r="N238" s="16">
        <v>32766827</v>
      </c>
      <c r="O238" s="47"/>
      <c r="P238" s="11"/>
    </row>
    <row r="239" spans="1:16" ht="15" hidden="1" customHeight="1">
      <c r="A239" s="318" t="s">
        <v>1373</v>
      </c>
      <c r="B239" s="233" t="s">
        <v>16</v>
      </c>
      <c r="C239" s="302" t="s">
        <v>1191</v>
      </c>
      <c r="D239" s="234" t="s">
        <v>1235</v>
      </c>
      <c r="E239" s="234" t="s">
        <v>1236</v>
      </c>
      <c r="F239" s="233">
        <v>2021</v>
      </c>
      <c r="G239" s="233"/>
      <c r="H239" s="234" t="s">
        <v>1238</v>
      </c>
      <c r="I239" s="16" t="s">
        <v>35</v>
      </c>
      <c r="J239" s="16" t="s">
        <v>35</v>
      </c>
      <c r="K239" s="234"/>
      <c r="L239" s="11"/>
      <c r="M239" s="16" t="s">
        <v>1238</v>
      </c>
      <c r="N239" s="16">
        <v>33977297</v>
      </c>
      <c r="O239" s="16" t="s">
        <v>1375</v>
      </c>
      <c r="P239" s="11"/>
    </row>
    <row r="240" spans="1:16" ht="15" hidden="1" customHeight="1">
      <c r="A240" s="318" t="s">
        <v>1373</v>
      </c>
      <c r="B240" s="233" t="s">
        <v>16</v>
      </c>
      <c r="C240" s="303" t="s">
        <v>206</v>
      </c>
      <c r="D240" s="234" t="s">
        <v>1376</v>
      </c>
      <c r="E240" s="234" t="s">
        <v>1377</v>
      </c>
      <c r="F240" s="233">
        <v>2023</v>
      </c>
      <c r="G240" s="233" t="s">
        <v>21</v>
      </c>
      <c r="H240" s="304" t="s">
        <v>1242</v>
      </c>
      <c r="I240" s="16" t="s">
        <v>35</v>
      </c>
      <c r="J240" s="16" t="s">
        <v>35</v>
      </c>
      <c r="K240" s="234"/>
      <c r="L240" s="11" t="s">
        <v>21</v>
      </c>
      <c r="M240" s="65" t="s">
        <v>1242</v>
      </c>
      <c r="N240" s="16" t="s">
        <v>1378</v>
      </c>
      <c r="O240" s="16" t="s">
        <v>1379</v>
      </c>
      <c r="P240" s="11"/>
    </row>
    <row r="241" spans="1:16" ht="15" hidden="1" customHeight="1">
      <c r="A241" s="318" t="s">
        <v>1373</v>
      </c>
      <c r="B241" s="233" t="s">
        <v>16</v>
      </c>
      <c r="C241" s="305" t="s">
        <v>1244</v>
      </c>
      <c r="D241" s="234" t="s">
        <v>1245</v>
      </c>
      <c r="E241" s="304" t="s">
        <v>1246</v>
      </c>
      <c r="F241" s="306">
        <v>2024</v>
      </c>
      <c r="G241" s="306" t="s">
        <v>21</v>
      </c>
      <c r="H241" s="234" t="s">
        <v>75</v>
      </c>
      <c r="I241" s="30" t="s">
        <v>72</v>
      </c>
      <c r="J241" s="30" t="s">
        <v>72</v>
      </c>
      <c r="K241" s="234"/>
      <c r="L241" s="30" t="s">
        <v>21</v>
      </c>
      <c r="M241" s="16" t="s">
        <v>75</v>
      </c>
      <c r="N241" s="16" t="s">
        <v>75</v>
      </c>
      <c r="O241" s="16" t="s">
        <v>75</v>
      </c>
      <c r="P241" s="102" t="s">
        <v>1248</v>
      </c>
    </row>
    <row r="242" spans="1:16" ht="15" hidden="1" customHeight="1">
      <c r="A242" s="318" t="s">
        <v>1373</v>
      </c>
      <c r="B242" s="233" t="s">
        <v>16</v>
      </c>
      <c r="C242" s="307" t="s">
        <v>1244</v>
      </c>
      <c r="D242" s="308" t="s">
        <v>1249</v>
      </c>
      <c r="E242" s="309" t="s">
        <v>1250</v>
      </c>
      <c r="F242" s="310">
        <v>2024</v>
      </c>
      <c r="G242" s="310" t="s">
        <v>21</v>
      </c>
      <c r="H242" s="234" t="s">
        <v>75</v>
      </c>
      <c r="I242" s="31" t="s">
        <v>72</v>
      </c>
      <c r="J242" s="31" t="s">
        <v>72</v>
      </c>
      <c r="K242" s="234"/>
      <c r="L242" s="31" t="s">
        <v>21</v>
      </c>
      <c r="M242" s="16" t="s">
        <v>75</v>
      </c>
      <c r="N242" s="16" t="s">
        <v>75</v>
      </c>
      <c r="O242" s="16" t="s">
        <v>75</v>
      </c>
      <c r="P242" s="31" t="s">
        <v>1252</v>
      </c>
    </row>
    <row r="243" spans="1:16" ht="15" hidden="1" customHeight="1">
      <c r="A243" s="318" t="s">
        <v>1373</v>
      </c>
      <c r="B243" s="233" t="s">
        <v>16</v>
      </c>
      <c r="C243" s="303" t="s">
        <v>1253</v>
      </c>
      <c r="D243" s="311" t="s">
        <v>1380</v>
      </c>
      <c r="E243" s="311" t="s">
        <v>1255</v>
      </c>
      <c r="F243" s="233">
        <v>2024</v>
      </c>
      <c r="G243" s="233" t="s">
        <v>21</v>
      </c>
      <c r="H243" s="234" t="s">
        <v>1259</v>
      </c>
      <c r="I243" s="11" t="s">
        <v>35</v>
      </c>
      <c r="J243" s="11" t="s">
        <v>35</v>
      </c>
      <c r="K243" s="234"/>
      <c r="L243" s="11" t="s">
        <v>21</v>
      </c>
      <c r="M243" s="16" t="s">
        <v>1259</v>
      </c>
      <c r="N243" s="16">
        <v>39592261</v>
      </c>
      <c r="O243" s="16" t="s">
        <v>1381</v>
      </c>
      <c r="P243" s="11"/>
    </row>
    <row r="244" spans="1:16" ht="15" hidden="1" customHeight="1">
      <c r="A244" s="318" t="s">
        <v>1373</v>
      </c>
      <c r="B244" s="233" t="s">
        <v>16</v>
      </c>
      <c r="C244" s="303" t="s">
        <v>1253</v>
      </c>
      <c r="D244" s="311" t="s">
        <v>1382</v>
      </c>
      <c r="E244" s="311" t="s">
        <v>1262</v>
      </c>
      <c r="F244" s="233">
        <v>2024</v>
      </c>
      <c r="G244" s="233" t="s">
        <v>21</v>
      </c>
      <c r="H244" s="234" t="s">
        <v>1264</v>
      </c>
      <c r="I244" s="11" t="s">
        <v>35</v>
      </c>
      <c r="J244" s="11" t="s">
        <v>35</v>
      </c>
      <c r="K244" s="234"/>
      <c r="L244" s="11" t="s">
        <v>21</v>
      </c>
      <c r="M244" s="16" t="s">
        <v>1264</v>
      </c>
      <c r="N244" s="16">
        <v>39592252</v>
      </c>
      <c r="O244" s="16" t="s">
        <v>1383</v>
      </c>
      <c r="P244" s="11"/>
    </row>
    <row r="245" spans="1:16" ht="15" hidden="1" customHeight="1">
      <c r="A245" s="318" t="s">
        <v>1373</v>
      </c>
      <c r="B245" s="233" t="s">
        <v>16</v>
      </c>
      <c r="C245" s="303" t="s">
        <v>1266</v>
      </c>
      <c r="D245" s="311" t="s">
        <v>1384</v>
      </c>
      <c r="E245" s="311" t="s">
        <v>1268</v>
      </c>
      <c r="F245" s="233">
        <v>2024</v>
      </c>
      <c r="G245" s="233" t="s">
        <v>21</v>
      </c>
      <c r="H245" s="234" t="s">
        <v>1270</v>
      </c>
      <c r="I245" s="11" t="s">
        <v>35</v>
      </c>
      <c r="J245" s="11" t="s">
        <v>35</v>
      </c>
      <c r="K245" s="303"/>
      <c r="L245" s="11" t="s">
        <v>21</v>
      </c>
      <c r="M245" s="16" t="s">
        <v>1270</v>
      </c>
      <c r="N245" s="16">
        <v>39499668</v>
      </c>
      <c r="O245" s="47"/>
      <c r="P245" s="11"/>
    </row>
    <row r="246" spans="1:16" ht="15" customHeight="1">
      <c r="A246" s="318" t="s">
        <v>1373</v>
      </c>
      <c r="B246" s="233" t="s">
        <v>16</v>
      </c>
      <c r="C246" s="302" t="s">
        <v>1215</v>
      </c>
      <c r="D246" s="234" t="s">
        <v>1271</v>
      </c>
      <c r="E246" s="234" t="s">
        <v>1272</v>
      </c>
      <c r="F246" s="233">
        <v>2025</v>
      </c>
      <c r="G246" s="233" t="s">
        <v>21</v>
      </c>
      <c r="H246" s="70" t="s">
        <v>1273</v>
      </c>
      <c r="I246" s="11" t="s">
        <v>35</v>
      </c>
      <c r="J246" s="11" t="s">
        <v>35</v>
      </c>
      <c r="K246" s="234"/>
      <c r="L246" s="11" t="s">
        <v>21</v>
      </c>
      <c r="M246" s="70" t="s">
        <v>1273</v>
      </c>
      <c r="N246" s="16">
        <v>39761016</v>
      </c>
      <c r="O246" s="16" t="s">
        <v>1274</v>
      </c>
      <c r="P246" s="11"/>
    </row>
    <row r="247" spans="1:16" ht="15" customHeight="1">
      <c r="A247" s="318" t="s">
        <v>1373</v>
      </c>
      <c r="B247" s="239" t="s">
        <v>379</v>
      </c>
      <c r="C247" s="240" t="s">
        <v>1276</v>
      </c>
      <c r="D247" s="239" t="s">
        <v>1277</v>
      </c>
      <c r="E247" s="239" t="s">
        <v>1278</v>
      </c>
      <c r="F247" s="233">
        <v>2025</v>
      </c>
      <c r="G247" s="233" t="s">
        <v>272</v>
      </c>
      <c r="H247" s="234"/>
      <c r="I247" s="11" t="s">
        <v>35</v>
      </c>
      <c r="J247" s="11" t="s">
        <v>35</v>
      </c>
      <c r="K247" s="234"/>
      <c r="L247" s="11" t="s">
        <v>272</v>
      </c>
      <c r="M247" s="16"/>
      <c r="N247" s="16"/>
      <c r="O247" s="16"/>
      <c r="P247" s="11"/>
    </row>
    <row r="248" spans="1:16" ht="15" customHeight="1">
      <c r="A248" s="318" t="s">
        <v>1373</v>
      </c>
      <c r="B248" s="233" t="s">
        <v>16</v>
      </c>
      <c r="C248" s="302" t="s">
        <v>1279</v>
      </c>
      <c r="D248" s="234" t="s">
        <v>1245</v>
      </c>
      <c r="E248" s="304" t="s">
        <v>1246</v>
      </c>
      <c r="F248" s="233">
        <v>2025</v>
      </c>
      <c r="G248" s="233" t="s">
        <v>21</v>
      </c>
      <c r="H248" s="234"/>
      <c r="I248" s="11" t="s">
        <v>72</v>
      </c>
      <c r="J248" s="11" t="s">
        <v>72</v>
      </c>
      <c r="K248" s="234"/>
      <c r="L248" s="11" t="s">
        <v>21</v>
      </c>
      <c r="M248" s="16"/>
      <c r="N248" s="16"/>
      <c r="O248" s="16"/>
      <c r="P248" s="33" t="s">
        <v>1280</v>
      </c>
    </row>
    <row r="249" spans="1:16" ht="15" customHeight="1">
      <c r="A249" s="318" t="s">
        <v>1373</v>
      </c>
      <c r="B249" s="233" t="s">
        <v>16</v>
      </c>
      <c r="C249" s="302" t="s">
        <v>1279</v>
      </c>
      <c r="D249" s="308" t="s">
        <v>1249</v>
      </c>
      <c r="E249" s="309" t="s">
        <v>1250</v>
      </c>
      <c r="F249" s="233">
        <v>2025</v>
      </c>
      <c r="G249" s="233" t="s">
        <v>21</v>
      </c>
      <c r="H249" s="234"/>
      <c r="I249" s="11" t="s">
        <v>72</v>
      </c>
      <c r="J249" s="11" t="s">
        <v>72</v>
      </c>
      <c r="K249" s="234"/>
      <c r="L249" s="11" t="s">
        <v>21</v>
      </c>
      <c r="M249" s="16"/>
      <c r="N249" s="16"/>
      <c r="O249" s="16"/>
      <c r="P249" s="33" t="s">
        <v>1281</v>
      </c>
    </row>
    <row r="250" spans="1:16" ht="15" customHeight="1">
      <c r="A250" s="318" t="s">
        <v>1373</v>
      </c>
      <c r="B250" s="233" t="s">
        <v>16</v>
      </c>
      <c r="C250" s="302" t="s">
        <v>1191</v>
      </c>
      <c r="D250" s="234" t="s">
        <v>1385</v>
      </c>
      <c r="E250" s="234" t="s">
        <v>1283</v>
      </c>
      <c r="F250" s="233">
        <v>2025</v>
      </c>
      <c r="G250" s="233" t="s">
        <v>693</v>
      </c>
      <c r="H250" s="234" t="s">
        <v>1284</v>
      </c>
      <c r="I250" s="11" t="s">
        <v>35</v>
      </c>
      <c r="J250" s="11" t="s">
        <v>35</v>
      </c>
      <c r="K250" s="234"/>
      <c r="L250" s="11" t="s">
        <v>693</v>
      </c>
      <c r="M250" s="16" t="s">
        <v>1284</v>
      </c>
      <c r="N250" s="16">
        <v>40696772</v>
      </c>
      <c r="O250" s="16"/>
      <c r="P250" s="33" t="s">
        <v>1285</v>
      </c>
    </row>
    <row r="251" spans="1:16" ht="15" customHeight="1">
      <c r="A251" s="318" t="s">
        <v>1373</v>
      </c>
      <c r="B251" s="234" t="s">
        <v>379</v>
      </c>
      <c r="C251" s="303" t="s">
        <v>1386</v>
      </c>
      <c r="D251" s="234" t="s">
        <v>1287</v>
      </c>
      <c r="E251" s="234" t="s">
        <v>1288</v>
      </c>
      <c r="F251" s="234">
        <v>2025</v>
      </c>
      <c r="G251" s="234"/>
      <c r="H251" s="234"/>
      <c r="I251" s="16" t="s">
        <v>35</v>
      </c>
      <c r="J251" s="16" t="s">
        <v>35</v>
      </c>
      <c r="K251" s="234"/>
      <c r="L251" s="16"/>
      <c r="M251" s="16"/>
      <c r="N251" s="16"/>
      <c r="O251" s="16"/>
      <c r="P251" s="16"/>
    </row>
    <row r="252" spans="1:16" ht="15" customHeight="1">
      <c r="A252" s="318" t="s">
        <v>1373</v>
      </c>
      <c r="B252" s="233" t="s">
        <v>16</v>
      </c>
      <c r="C252" s="302" t="s">
        <v>1289</v>
      </c>
      <c r="D252" s="234" t="s">
        <v>1290</v>
      </c>
      <c r="E252" s="234" t="s">
        <v>1291</v>
      </c>
      <c r="F252" s="233">
        <v>2025</v>
      </c>
      <c r="G252" s="233" t="s">
        <v>21</v>
      </c>
      <c r="H252" s="234" t="s">
        <v>1292</v>
      </c>
      <c r="I252" s="11" t="s">
        <v>35</v>
      </c>
      <c r="J252" s="11" t="s">
        <v>35</v>
      </c>
      <c r="K252" s="234"/>
      <c r="L252" s="11" t="s">
        <v>21</v>
      </c>
      <c r="M252" s="16" t="s">
        <v>1292</v>
      </c>
      <c r="N252" s="16">
        <v>40092054</v>
      </c>
      <c r="O252" s="16" t="s">
        <v>1387</v>
      </c>
      <c r="P252" s="33" t="s">
        <v>1294</v>
      </c>
    </row>
    <row r="253" spans="1:16" ht="15" hidden="1" customHeight="1">
      <c r="A253" s="318" t="s">
        <v>1373</v>
      </c>
      <c r="B253" s="233" t="s">
        <v>16</v>
      </c>
      <c r="C253" s="302" t="s">
        <v>1295</v>
      </c>
      <c r="D253" s="234" t="s">
        <v>1296</v>
      </c>
      <c r="E253" s="234" t="s">
        <v>1297</v>
      </c>
      <c r="F253" s="233">
        <v>2024</v>
      </c>
      <c r="G253" s="233" t="s">
        <v>21</v>
      </c>
      <c r="H253" s="234" t="s">
        <v>1298</v>
      </c>
      <c r="I253" s="11" t="s">
        <v>35</v>
      </c>
      <c r="J253" s="11" t="s">
        <v>35</v>
      </c>
      <c r="K253" s="234"/>
      <c r="L253" s="11" t="s">
        <v>21</v>
      </c>
      <c r="M253" s="16" t="s">
        <v>1298</v>
      </c>
      <c r="N253" s="16">
        <v>39425035</v>
      </c>
      <c r="O253" s="16" t="s">
        <v>1388</v>
      </c>
      <c r="P253" s="33" t="s">
        <v>1300</v>
      </c>
    </row>
    <row r="254" spans="1:16" ht="15" hidden="1" customHeight="1">
      <c r="A254" s="318" t="s">
        <v>1389</v>
      </c>
      <c r="B254" s="241" t="s">
        <v>16</v>
      </c>
      <c r="C254" s="242" t="s">
        <v>80</v>
      </c>
      <c r="D254" s="227" t="s">
        <v>686</v>
      </c>
      <c r="E254" s="227" t="s">
        <v>687</v>
      </c>
      <c r="F254" s="227"/>
      <c r="G254" s="227"/>
      <c r="H254" s="243"/>
      <c r="I254" s="227"/>
      <c r="J254" s="227"/>
      <c r="K254" s="227">
        <v>2023</v>
      </c>
      <c r="L254" s="227" t="s">
        <v>21</v>
      </c>
      <c r="M254" s="59" t="s">
        <v>1390</v>
      </c>
      <c r="N254" s="168">
        <v>38111108</v>
      </c>
      <c r="O254" s="168" t="s">
        <v>689</v>
      </c>
      <c r="P254" s="227" t="s">
        <v>1391</v>
      </c>
    </row>
    <row r="255" spans="1:16" ht="15" hidden="1" customHeight="1">
      <c r="A255" s="318" t="s">
        <v>1389</v>
      </c>
      <c r="B255" s="241" t="s">
        <v>16</v>
      </c>
      <c r="C255" s="244" t="s">
        <v>225</v>
      </c>
      <c r="D255" s="312" t="s">
        <v>1392</v>
      </c>
      <c r="E255" s="313" t="s">
        <v>1393</v>
      </c>
      <c r="F255" s="245">
        <v>2024</v>
      </c>
      <c r="G255" s="245" t="s">
        <v>1394</v>
      </c>
      <c r="H255" s="245" t="s">
        <v>1394</v>
      </c>
      <c r="I255" s="245" t="s">
        <v>35</v>
      </c>
      <c r="J255" s="245" t="s">
        <v>35</v>
      </c>
      <c r="K255" s="246" t="s">
        <v>1395</v>
      </c>
      <c r="L255" s="245" t="s">
        <v>21</v>
      </c>
      <c r="M255" s="78" t="s">
        <v>1396</v>
      </c>
      <c r="N255" s="314">
        <v>38238113</v>
      </c>
      <c r="O255" s="168" t="s">
        <v>1397</v>
      </c>
      <c r="P255" s="247"/>
    </row>
    <row r="256" spans="1:16" ht="15" hidden="1" customHeight="1">
      <c r="A256" s="318" t="s">
        <v>1389</v>
      </c>
      <c r="B256" s="241" t="s">
        <v>16</v>
      </c>
      <c r="C256" s="248" t="s">
        <v>225</v>
      </c>
      <c r="D256" s="247" t="s">
        <v>1398</v>
      </c>
      <c r="E256" s="315" t="s">
        <v>1399</v>
      </c>
      <c r="F256" s="247">
        <v>2024</v>
      </c>
      <c r="G256" s="247"/>
      <c r="H256" s="254"/>
      <c r="I256" s="247" t="s">
        <v>35</v>
      </c>
      <c r="J256" s="247" t="s">
        <v>35</v>
      </c>
      <c r="K256" s="247" t="s">
        <v>1395</v>
      </c>
      <c r="L256" s="247" t="s">
        <v>1400</v>
      </c>
      <c r="M256" s="59" t="s">
        <v>1401</v>
      </c>
      <c r="N256" s="168">
        <v>38184394</v>
      </c>
      <c r="O256" s="169"/>
      <c r="P256" s="247"/>
    </row>
    <row r="257" spans="1:16" ht="15" hidden="1" customHeight="1">
      <c r="A257" s="318" t="s">
        <v>1389</v>
      </c>
      <c r="B257" s="241" t="s">
        <v>16</v>
      </c>
      <c r="C257" s="248" t="s">
        <v>1402</v>
      </c>
      <c r="D257" s="249" t="s">
        <v>1403</v>
      </c>
      <c r="E257" s="250" t="s">
        <v>1404</v>
      </c>
      <c r="F257" s="247">
        <v>2024</v>
      </c>
      <c r="G257" s="247" t="s">
        <v>1405</v>
      </c>
      <c r="H257" s="250">
        <v>104243</v>
      </c>
      <c r="I257" s="247" t="s">
        <v>35</v>
      </c>
      <c r="J257" s="247" t="s">
        <v>35</v>
      </c>
      <c r="K257" s="251" t="s">
        <v>1406</v>
      </c>
      <c r="L257" s="247" t="s">
        <v>21</v>
      </c>
      <c r="M257" s="54" t="s">
        <v>1407</v>
      </c>
      <c r="N257" s="168">
        <v>38522364</v>
      </c>
      <c r="O257" s="168" t="s">
        <v>1408</v>
      </c>
      <c r="P257" s="227"/>
    </row>
    <row r="258" spans="1:16" ht="15" hidden="1" customHeight="1">
      <c r="A258" s="318" t="s">
        <v>1389</v>
      </c>
      <c r="B258" s="241" t="s">
        <v>16</v>
      </c>
      <c r="C258" s="248" t="s">
        <v>64</v>
      </c>
      <c r="D258" s="278" t="s">
        <v>1409</v>
      </c>
      <c r="E258" s="278" t="s">
        <v>1410</v>
      </c>
      <c r="F258" s="241">
        <v>2024</v>
      </c>
      <c r="G258" s="241"/>
      <c r="H258" s="241"/>
      <c r="I258" s="241" t="s">
        <v>35</v>
      </c>
      <c r="J258" s="241" t="s">
        <v>35</v>
      </c>
      <c r="K258" s="316">
        <v>45396</v>
      </c>
      <c r="L258" s="241" t="s">
        <v>1411</v>
      </c>
      <c r="M258" s="89" t="s">
        <v>1412</v>
      </c>
      <c r="N258" s="166">
        <v>38670846</v>
      </c>
      <c r="O258" s="166" t="s">
        <v>1413</v>
      </c>
      <c r="P258" s="278" t="s">
        <v>711</v>
      </c>
    </row>
    <row r="259" spans="1:16" ht="15" hidden="1" customHeight="1">
      <c r="A259" s="321" t="s">
        <v>1389</v>
      </c>
      <c r="B259" s="322" t="s">
        <v>16</v>
      </c>
      <c r="C259" s="323" t="s">
        <v>1414</v>
      </c>
      <c r="D259" s="324" t="s">
        <v>1415</v>
      </c>
      <c r="E259" s="324" t="s">
        <v>1416</v>
      </c>
      <c r="F259" s="325">
        <v>2024</v>
      </c>
      <c r="G259" s="325"/>
      <c r="H259" s="326"/>
      <c r="I259" s="325" t="s">
        <v>35</v>
      </c>
      <c r="J259" s="325" t="s">
        <v>35</v>
      </c>
      <c r="K259" s="327">
        <v>45621</v>
      </c>
      <c r="L259" s="325" t="s">
        <v>1417</v>
      </c>
      <c r="M259" s="328" t="s">
        <v>620</v>
      </c>
      <c r="N259" s="329">
        <v>37525454</v>
      </c>
      <c r="O259" s="329" t="s">
        <v>621</v>
      </c>
      <c r="P259" s="324" t="s">
        <v>1418</v>
      </c>
    </row>
  </sheetData>
  <dataValidations count="3">
    <dataValidation type="list" allowBlank="1" showInputMessage="1" showErrorMessage="1" sqref="L97:L98 P98" xr:uid="{0B17AAD9-F556-46DE-BB6D-A33EB180C1B4}">
      <formula1>"Yes, No"</formula1>
    </dataValidation>
    <dataValidation allowBlank="1" showInputMessage="1" showErrorMessage="1" sqref="A1:A1048576" xr:uid="{8F84FE77-BDB5-453F-8430-6A2313C9616C}"/>
    <dataValidation type="list" allowBlank="1" showInputMessage="1" showErrorMessage="1" sqref="I212:J216" xr:uid="{A7170E75-1CF5-40B0-8632-677B0FE71FFC}"/>
  </dataValidations>
  <hyperlinks>
    <hyperlink ref="M5" r:id="rId1" xr:uid="{6D7F55B5-0BB4-475F-BE19-917E75616CD7}"/>
    <hyperlink ref="M6" r:id="rId2" xr:uid="{15A9AB54-DA5A-45DA-AC3A-A082E399ED87}"/>
    <hyperlink ref="M7" r:id="rId3" xr:uid="{1A6CC372-3D8B-4CB3-8B82-DD065D78C40D}"/>
    <hyperlink ref="H130" r:id="rId4" xr:uid="{73906632-233F-4148-9105-4F8BD34BBC29}"/>
    <hyperlink ref="H136" r:id="rId5" xr:uid="{B77EE073-4DB4-4AF8-9568-7AB6E50EB620}"/>
    <hyperlink ref="H138" r:id="rId6" xr:uid="{49B577B2-5A55-429B-A8D8-E99020D37294}"/>
    <hyperlink ref="H139" r:id="rId7" xr:uid="{4DEB35A7-39DB-459E-818A-3679DF7A6A2D}"/>
    <hyperlink ref="H146" r:id="rId8" xr:uid="{5347D74E-1F56-4D9F-81EC-B6384B746459}"/>
    <hyperlink ref="H158" r:id="rId9" display="https://doi.org/10.1016/j.vaccine.2024.126667" xr:uid="{179528F6-5B86-4C19-B4BB-95FA2E33D5F2}"/>
    <hyperlink ref="H128" r:id="rId10" xr:uid="{AABEA2B8-162D-409B-A77B-B514A0856074}"/>
    <hyperlink ref="H157" r:id="rId11" display="https://doi.org/10.1016/j.vaccine.2024.126560" xr:uid="{1324A678-BE22-44A0-9912-4F28EC9904B6}"/>
    <hyperlink ref="H174" r:id="rId12" xr:uid="{8ACC1A82-C860-4358-A6E4-54BEF1B096CC}"/>
    <hyperlink ref="H165" r:id="rId13" xr:uid="{58F038B4-7E69-4CCB-992E-F831A4F20BF4}"/>
    <hyperlink ref="H176" r:id="rId14" xr:uid="{09917376-4670-4BB3-959F-C6AF75BB3F0A}"/>
    <hyperlink ref="H185" r:id="rId15" display="https://doi.org/10.1002/hec.4974" xr:uid="{495848AF-69A3-4174-BE2E-1AE2B1788D47}"/>
    <hyperlink ref="H190" r:id="rId16" display="http://dx.doi.org/10.15585/mmwr.mm7422a3" xr:uid="{F1630C8C-4856-4847-ACC6-56DCC995F1B6}"/>
    <hyperlink ref="H184" r:id="rId17" display="https://doi.org/10.1016/j.vaccine.2025.127332" xr:uid="{85C758E4-F43B-43D4-A310-B70FD207B1DC}"/>
    <hyperlink ref="H193" r:id="rId18" display="https://doi.org/10.3389/frhs.2025.1562651" xr:uid="{0BD8737F-F938-4C0E-B7B6-343C449B5DF0}"/>
    <hyperlink ref="H179" r:id="rId19" xr:uid="{2CAABB92-E171-4CD0-B4D7-8D77CABF7A7E}"/>
    <hyperlink ref="H187" r:id="rId20" xr:uid="{4DBDAD81-D13D-47F0-84F8-3BBF22DACED7}"/>
    <hyperlink ref="H156" r:id="rId21" xr:uid="{21F0485A-BA6B-4BCC-AE73-2B0A6A40A533}"/>
    <hyperlink ref="H140" r:id="rId22" display="https://doi.org/10.1016/j.vaccine.2024.05.055" xr:uid="{2A88FED2-BE21-4A1A-876C-4C29B3C9DBA6}"/>
    <hyperlink ref="H149" r:id="rId23" display="https://doi.org/10.1542/peds.2024-066481" xr:uid="{B3ADE032-AA70-45E5-AE0A-A99EE16FC4F7}"/>
    <hyperlink ref="H188" r:id="rId24" display="https://doi.org/10.1016/j.vaccine.2025.127043" xr:uid="{0C085917-186E-4872-BF18-0016CD2CBA80}"/>
    <hyperlink ref="H189" r:id="rId25" display="https://doi.org/10.1016/j.jpedcp.2025.200160 " xr:uid="{F24BCBCB-9EF4-411F-843A-73FC6361F474}"/>
    <hyperlink ref="H182" r:id="rId26" xr:uid="{52815018-F5A0-47CC-9DF3-AE78AE706E31}"/>
    <hyperlink ref="H198" r:id="rId27" display="https://journals.lww.com/pidj/abstract/2025/09000/three_cases_of_adolescent_orf_virus_skin_and_soft.23.aspx" xr:uid="{BAA6FEDA-00BE-48EE-901A-656B9A424EAF}"/>
    <hyperlink ref="M200" r:id="rId28" xr:uid="{259712B3-E2E6-46C3-9D4C-8BDB56849503}"/>
    <hyperlink ref="M130" r:id="rId29" xr:uid="{73CDB955-3817-4BFE-9BFB-5A6D02F05B09}"/>
    <hyperlink ref="M136" r:id="rId30" xr:uid="{5BF82D4A-E85E-45DB-A402-D6D687C1F8C0}"/>
    <hyperlink ref="M138" r:id="rId31" xr:uid="{14BD0ABD-E30A-4AEB-BFB9-A37B3066F798}"/>
    <hyperlink ref="M139" r:id="rId32" xr:uid="{B7FEE577-D829-427D-8515-5AE1002966C4}"/>
    <hyperlink ref="M146" r:id="rId33" xr:uid="{67272030-76CB-4869-AC57-311B5BA74FF8}"/>
    <hyperlink ref="M158" r:id="rId34" display="https://doi.org/10.1016/j.vaccine.2024.126667" xr:uid="{BD743897-7C14-445D-82E6-808E950CD2C2}"/>
    <hyperlink ref="M128" r:id="rId35" xr:uid="{19D2AEFB-1FB1-4179-8E54-F97AF135C62F}"/>
    <hyperlink ref="M157" r:id="rId36" display="https://doi.org/10.1016/j.vaccine.2024.126560" xr:uid="{E69D5CD5-727A-4A3D-8596-0B9416028E33}"/>
    <hyperlink ref="M174" r:id="rId37" xr:uid="{C3505900-25E2-406E-BF97-AD16414DC875}"/>
    <hyperlink ref="M165" r:id="rId38" xr:uid="{A342A006-519A-4DDA-B8C5-0A9CF830C7C8}"/>
    <hyperlink ref="M176" r:id="rId39" xr:uid="{88238589-A5CA-482F-8A9E-85D7D762617F}"/>
    <hyperlink ref="M185" r:id="rId40" display="https://doi.org/10.1002/hec.4974" xr:uid="{28E07B18-0325-4FA4-B126-7A26B58F67EC}"/>
    <hyperlink ref="M190" r:id="rId41" display="http://dx.doi.org/10.15585/mmwr.mm7422a3" xr:uid="{324DB245-AEB2-4BC6-B4A3-DCA78039E3D8}"/>
    <hyperlink ref="M184" r:id="rId42" display="https://doi.org/10.1016/j.vaccine.2025.127332" xr:uid="{9D65AE51-A47D-4882-98FE-2CE3E1ABAB4C}"/>
    <hyperlink ref="M193" r:id="rId43" display="https://doi.org/10.3389/frhs.2025.1562651" xr:uid="{EAF1CD6A-F5A9-4A5E-8C8C-3DB91F6FD8B4}"/>
    <hyperlink ref="M179" r:id="rId44" xr:uid="{DCD7808C-637C-4DB9-A3F8-85A733CA76F6}"/>
    <hyperlink ref="M187" r:id="rId45" xr:uid="{B31FD0C6-EEA7-4AA4-A900-A5137CDC4307}"/>
    <hyperlink ref="M156" r:id="rId46" xr:uid="{650772C6-AFC7-4AD2-8669-2A2BBA64365C}"/>
    <hyperlink ref="M140" r:id="rId47" display="https://doi.org/10.1016/j.vaccine.2024.05.055" xr:uid="{3AD52804-FDAD-4315-9312-FA0373213ADA}"/>
    <hyperlink ref="M149" r:id="rId48" display="https://doi.org/10.1542/peds.2024-066481" xr:uid="{884FC60A-8CF9-4E03-8B9C-FE4A9B86A90D}"/>
    <hyperlink ref="M188" r:id="rId49" display="https://doi.org/10.1016/j.vaccine.2025.127043" xr:uid="{D0302CAA-29D1-415D-B537-76387F75773E}"/>
    <hyperlink ref="M189" r:id="rId50" display="https://doi.org/10.1016/j.jpedcp.2025.200160 " xr:uid="{8E0A2EB2-F7F9-424C-9A6C-5D480723F5FD}"/>
    <hyperlink ref="M182" r:id="rId51" xr:uid="{ADF69805-57BA-472B-95E6-5EB956FC3369}"/>
    <hyperlink ref="M198" r:id="rId52" display="https://journals.lww.com/pidj/abstract/2025/09000/three_cases_of_adolescent_orf_virus_skin_and_soft.23.aspx" xr:uid="{CC97C3E6-AD80-49AB-A357-286582D251DA}"/>
    <hyperlink ref="M43" r:id="rId53" display="http://dx.doi.org/10.15585/mmwr.mm7245a2" xr:uid="{E33F769F-9A46-4C72-976F-9C320FED1498}"/>
    <hyperlink ref="M44" r:id="rId54" xr:uid="{15059D80-FB07-4EEF-8BA6-2E1475E4194C}"/>
    <hyperlink ref="M46" r:id="rId55" xr:uid="{28A5C281-C792-43BD-ACC7-7701F45235C4}"/>
    <hyperlink ref="M52" r:id="rId56" display="https://authors.elsevier.com/c/1j9jv,60n7r~TE" xr:uid="{C4955BBB-A3C8-4C34-9182-8ACA45B2B468}"/>
    <hyperlink ref="M54" r:id="rId57" xr:uid="{703042B8-0393-4D6F-8AC9-F6E3164B4840}"/>
    <hyperlink ref="M59" r:id="rId58" display="https://www.cdc.gov/vaccines/imz-managers/coverage/teenvaxview/downloads/Error-Profile-2023-NIS-Teen.pdf" xr:uid="{5B9C4020-2C09-442E-8D57-7B0C6A8A262D}"/>
    <hyperlink ref="M65" r:id="rId59" display="https://www.cdc.gov/fluvaxview/coverage-by-season/pregnant-april-2024.html" xr:uid="{F6BA8213-2767-4E41-8F94-07BB58B52629}"/>
    <hyperlink ref="M66" r:id="rId60" display="https://www.cdc.gov/fluvaxview/coverage-by-season/2023-2024.html" xr:uid="{D486550E-D8AC-4EEE-83F0-68E0D86CCFA0}"/>
    <hyperlink ref="M67" r:id="rId61" xr:uid="{75222810-32B4-48CE-837D-E47ECD9E228E}"/>
    <hyperlink ref="M72" r:id="rId62" display="https://www.childstats.gov/americaschildren/" xr:uid="{03816C71-6733-4848-AAB3-4EE4A18C65BB}"/>
    <hyperlink ref="M27" r:id="rId63" xr:uid="{13B16971-5AD8-46D3-99AB-E040B2C3E65D}"/>
    <hyperlink ref="M55" r:id="rId64" xr:uid="{AF08362A-AF1D-43C8-8C71-A0B7CE98F017}"/>
    <hyperlink ref="M79" r:id="rId65" display="Estimating historical impacts of vaccination against influenza B/Yamagata in the United States to inform possible risks of re-emergence in the absence of vaccination - ScienceDirect" xr:uid="{55DEBD9C-8862-43EF-940D-A4007B2DC72A}"/>
    <hyperlink ref="M80" r:id="rId66" display="https://www.sciencedirect.com/science/article/pii/S0264410X25007121?dgcid=author    Parental Reasons for Non-Receipt of Influenza Vaccination Among Children 6 Months–17 Years and Changes Over Time, 2015–2024 by Katherine E. Kahn, Tammy A. Santibanez, Anurag Jain, Tianyi Zhou, Carla L. Black :: SSRN" xr:uid="{781A562E-6B0A-44FE-B92F-0393BAFE5A7B}"/>
    <hyperlink ref="M83" r:id="rId67" display="https://www.cdc.gov/respvaxview/publications/pregnancy-coverage-estimation.html" xr:uid="{1A497FAC-F94A-4EB3-BA34-108030F8CAC3}"/>
    <hyperlink ref="M57" r:id="rId68" xr:uid="{94F36545-39D4-49C3-BE80-54EC04AE7D41}"/>
    <hyperlink ref="M63" r:id="rId69" xr:uid="{BB94D7AA-9B6D-452B-AA24-BAD796378A97}"/>
    <hyperlink ref="M69" r:id="rId70" xr:uid="{E5820A86-B639-40FA-9C33-BA8DD3053B8F}"/>
    <hyperlink ref="M85" r:id="rId71" display="https://www.cdc.gov/teenvaxview/publications/us-pacific-island-coverage-estimates-2013-2024.html" xr:uid="{35261B7F-C50E-49ED-8B09-92F88F9D56C5}"/>
    <hyperlink ref="P48" r:id="rId72" xr:uid="{5B3596A2-AA15-4A5D-A542-2825FD9D81DF}"/>
    <hyperlink ref="P54" r:id="rId73" xr:uid="{5A681D03-3ABF-44FF-8B5D-278C402EFB0B}"/>
    <hyperlink ref="P58" r:id="rId74" display="https://www.cdc.gov/mmwr/volumes/73/wr/mm7333a1.htm" xr:uid="{B618340B-9D17-4C8E-8784-24C1939E21DA}"/>
    <hyperlink ref="P60" r:id="rId75" display="https://www.cdc.gov/mmwr/volumes/73/wr/mm7333e1.htm" xr:uid="{3C7BFD3B-9924-454C-8F78-AD94026BA403}"/>
    <hyperlink ref="P57" r:id="rId76" display="https://www.cdc.gov/vaccines/imz-managers/coverage/adultvaxview/pubs-resources/vaccination-coverage-adults-2022.html" xr:uid="{D995FCF8-428A-4F78-8D0F-064B6F52D716}"/>
    <hyperlink ref="P61" r:id="rId77" display="https://www.cdc.gov/mmwr/volumes/73/wr/mm7338a3.htm?s_cid=mm7338a3_w" xr:uid="{5A09EA0D-14F1-4096-818D-085D86C320EE}"/>
    <hyperlink ref="P62" r:id="rId78" display="https://www.cdc.gov/mmwr/volumes/73/wr/mm7338a4.htm?s_cid=mm7338a4_w" xr:uid="{744679EC-1CD8-4BC6-BD0D-7C857B35FF50}"/>
    <hyperlink ref="P64" r:id="rId79" xr:uid="{DD70BFA8-0AFA-4E22-B11C-8F9FD67DACD8}"/>
    <hyperlink ref="P73" r:id="rId80" display="https://pubmed.ncbi.nlm.nih.gov/39615345/" xr:uid="{44E5A822-B10C-4593-9046-EE18E2ADEF79}"/>
    <hyperlink ref="P71" r:id="rId81" xr:uid="{A035D2B5-012A-4789-8280-70F752ACE590}"/>
    <hyperlink ref="P74" r:id="rId82" xr:uid="{B75818AF-11E7-4B92-BA46-129A5244AA33}"/>
    <hyperlink ref="P75" r:id="rId83" location=":~:text=DOI%3A-,10.1080/14760584.2025.2483719,-Free%20article" xr:uid="{D864E5FA-4187-40EF-B857-E2EEBDC975D8}"/>
    <hyperlink ref="M99" r:id="rId84" xr:uid="{DAA9CFC5-1C8B-409C-88F0-8987AB5D13A4}"/>
    <hyperlink ref="M91" r:id="rId85" display="https://doi.org/10.1016/j.vaccine.2023.12.005" xr:uid="{9EC4F424-BC3B-4E7D-9188-54D4C9D3C18F}"/>
    <hyperlink ref="M101" r:id="rId86" xr:uid="{50168863-46CD-4718-A83C-0F5E7E54A161}"/>
    <hyperlink ref="P91" r:id="rId87" display="https://www.sciencedirect.com/science/article/pii/S0264410X2301438X" xr:uid="{B1357911-5CCD-4BCD-8BD0-65FBA9E0092D}"/>
    <hyperlink ref="P92" r:id="rId88" display="https://pubmed.ncbi.nlm.nih.gov/38302337/" xr:uid="{4B7CF7B3-88E3-45D7-A8EE-ABD13C90F39E}"/>
    <hyperlink ref="P93" r:id="rId89" display="https://www.sciencedirect.com/science/article/pii/S0264410X24002718" xr:uid="{606DCA36-B390-40A4-91E2-2F2F3ECA27A8}"/>
    <hyperlink ref="P94" r:id="rId90" display="https://www.cdc.gov/mmwr/volumes/73/wr/mm7313a2.htm" xr:uid="{712F084E-57C9-4D96-BD5E-8683A0BBC52B}"/>
    <hyperlink ref="P95" r:id="rId91" location=":~:text=Objective:%20Assess%20how%20the%20COVID-19" display="https://pubmed.ncbi.nlm.nih.gov/38797629/ - :~:text=Objective:%20Assess%20how%20the%20COVID-19" xr:uid="{B44B0628-3D52-43E1-BD65-408619E24C9C}"/>
    <hyperlink ref="P96" r:id="rId92" xr:uid="{EDD3002D-ECFF-4416-9687-CB6D5AFF52D6}"/>
    <hyperlink ref="P98" r:id="rId93" location="info" xr:uid="{830B9F5B-666D-4CE3-BFB0-716D8A4681C1}"/>
    <hyperlink ref="P131" r:id="rId94" xr:uid="{73CF4CC0-558D-40CE-B1C6-145AD792EA1D}"/>
    <hyperlink ref="P149" r:id="rId95" xr:uid="{0E240DB8-FCA3-49BF-845F-053663D8C0B3}"/>
    <hyperlink ref="P150" r:id="rId96" xr:uid="{99DC8866-FA48-44FD-8A30-12D555098BD7}"/>
    <hyperlink ref="P153" r:id="rId97" xr:uid="{EFED7425-61A8-4A93-9C7C-9F531A4FE34E}"/>
    <hyperlink ref="P154" r:id="rId98" xr:uid="{4793707D-3DD3-4630-BC63-B3DD80D56BFB}"/>
    <hyperlink ref="P155" r:id="rId99" xr:uid="{A74D756F-CF2B-47C9-B960-7544A14D633A}"/>
    <hyperlink ref="P165" r:id="rId100" xr:uid="{F4A4034D-756F-4774-B59E-2471D61078E1}"/>
    <hyperlink ref="P166" r:id="rId101" location="google_vignette" xr:uid="{4CB8531A-0F84-4D58-B35A-B3EA72C68E88}"/>
    <hyperlink ref="P167" r:id="rId102" xr:uid="{A49C0550-3DB3-4F09-9D0F-9EB9023487E5}"/>
    <hyperlink ref="P174" r:id="rId103" xr:uid="{938CB707-3A9F-4D1F-BEE9-D45C3B2C9424}"/>
    <hyperlink ref="P176" r:id="rId104" xr:uid="{EFF2E87F-F593-4280-89BF-22B5E50C6FEE}"/>
    <hyperlink ref="P179" r:id="rId105" display="https://obgyn.onlinelibrary.wiley.com/doi/10.1002/ijgo.15970" xr:uid="{9B732734-7632-4639-B8E8-A7087F1B2421}"/>
    <hyperlink ref="P180" r:id="rId106" xr:uid="{5458F9B5-CA64-4307-8869-3AF15D40D916}"/>
    <hyperlink ref="P185" r:id="rId107" display="https://onlinelibrary.wiley.com/doi/10.1002/hec.4974" xr:uid="{94DF946C-967E-4B94-91D5-4BF2DB227F4B}"/>
    <hyperlink ref="P187" r:id="rId108" xr:uid="{302AA03E-03FE-4267-85CA-5C6C75ACC23E}"/>
    <hyperlink ref="P188" r:id="rId109" xr:uid="{53541264-C997-449E-89D0-DB1C57B7075F}"/>
    <hyperlink ref="P189" r:id="rId110" display="https://www.sciencedirect.com/science/article/pii/S2950541025000225" xr:uid="{22579A3D-1649-4936-ADA0-4F5D3A89D6B2}"/>
    <hyperlink ref="P190" r:id="rId111" xr:uid="{376C795B-3070-4075-8315-ADAE6A5943C2}"/>
    <hyperlink ref="P193" r:id="rId112" xr:uid="{B8330EB4-7975-4F28-B5FF-A422C9B27CB8}"/>
    <hyperlink ref="P241" r:id="rId113" xr:uid="{9851F27C-9D2F-4468-9B18-96C3C908C59F}"/>
    <hyperlink ref="P249" r:id="rId114" xr:uid="{AD9BCFA5-4F13-4124-8AE0-B34F667F73F0}"/>
    <hyperlink ref="P248" r:id="rId115" xr:uid="{8849436E-4390-4F13-BA4E-35BBF49C8569}"/>
    <hyperlink ref="P252" r:id="rId116" xr:uid="{FC5C4EE3-FD98-4D93-9B54-9B703456D059}"/>
    <hyperlink ref="P253" r:id="rId117" xr:uid="{739FF00E-E627-4DC8-8CAF-5EDD8937963C}"/>
    <hyperlink ref="P250" r:id="rId118" xr:uid="{2E9D8F5E-2A80-4590-ACBF-F68927FD3B96}"/>
    <hyperlink ref="M254" r:id="rId119" display="https://doi.org/10.1177/00333549231208642" xr:uid="{BDA45A9B-2E5D-4F9A-80DA-B2BD03F6F752}"/>
    <hyperlink ref="M257" r:id="rId120" display="SARS-CoV-2 infection, inflammation and birth outcomes in a prospective NYC pregnancy cohort - ScienceDirect" xr:uid="{70E9EBFF-C27D-406E-A058-2212BD9808AB}"/>
    <hyperlink ref="M258" r:id="rId121" display="https://doi.org/10.1016/j.vaccine.2024.04.043" xr:uid="{1E405610-0595-4896-ABA1-0006F5D189CD}"/>
    <hyperlink ref="M255" r:id="rId122" display="https://doi.org/10.1016/j.vaccine.2023.12.061" xr:uid="{F065EF02-19B7-4A37-B052-CB848613CCAA}"/>
    <hyperlink ref="K257" r:id="rId123" xr:uid="{90805B6D-307A-4D41-AE34-AC330E0AD47A}"/>
    <hyperlink ref="M196" r:id="rId124" display="https://doi.org/10.1016/j.vaccine.2026.128212" xr:uid="{D549C44F-9BAF-4E01-9774-64845FEA3014}"/>
    <hyperlink ref="M194" r:id="rId125" display="https://www.sciencedirect.com/science/article/pii/S0749379726001558" xr:uid="{B557B62E-2176-47F5-984C-6D31635F7C55}"/>
  </hyperlinks>
  <pageMargins left="0.7" right="0.7" top="0.75" bottom="0.75" header="0.3" footer="0.3"/>
  <pageSetup orientation="portrait" r:id="rId126"/>
  <tableParts count="1">
    <tablePart r:id="rId127"/>
  </tableParts>
  <extLst>
    <ext xmlns:x14="http://schemas.microsoft.com/office/spreadsheetml/2009/9/main" uri="{CCE6A557-97BC-4b89-ADB6-D9C93CAAB3DF}">
      <x14:dataValidations xmlns:xm="http://schemas.microsoft.com/office/excel/2006/main" count="5">
        <x14:dataValidation type="list" allowBlank="1" showInputMessage="1" showErrorMessage="1" xr:uid="{F6AAC23E-8A1E-4A21-B3BD-83D5BEE0379E}">
          <x14:formula1>
            <xm:f>#REF!</xm:f>
          </x14:formula1>
          <xm:sqref>I104:J198 G204:G208 I201:J209 I234:J975 I2:J101</xm:sqref>
        </x14:dataValidation>
        <x14:dataValidation type="list" allowBlank="1" showInputMessage="1" showErrorMessage="1" xr:uid="{65DA0A25-C452-4DA4-8DDE-C73AE041B54E}">
          <x14:formula1>
            <xm:f>#REF!</xm:f>
          </x14:formula1>
          <xm:sqref>B254:B525 B2:B209</xm:sqref>
        </x14:dataValidation>
        <x14:dataValidation type="list" allowBlank="1" showInputMessage="1" showErrorMessage="1" xr:uid="{CE6A3CB0-2F39-4F82-AD86-63372A6FD4B2}">
          <x14:formula1>
            <xm:f>ARISE!#REF!</xm:f>
          </x14:formula1>
          <xm:sqref>I102:J103</xm:sqref>
        </x14:dataValidation>
        <x14:dataValidation type="list" allowBlank="1" showInputMessage="1" showErrorMessage="1" xr:uid="{F9880C15-C912-4857-A8DC-120BE738F858}">
          <x14:formula1>
            <xm:f>FSB!#REF!</xm:f>
          </x14:formula1>
          <xm:sqref>I199:J199</xm:sqref>
        </x14:dataValidation>
        <x14:dataValidation type="list" allowBlank="1" showInputMessage="1" showErrorMessage="1" xr:uid="{C50B5692-12D3-4EDA-B5A0-DD12094405FC}">
          <x14:formula1>
            <xm:f>HECB!#REF!</xm:f>
          </x14:formula1>
          <xm:sqref>I217:J233 I210:J211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2"/>
  <sheetViews>
    <sheetView workbookViewId="0">
      <pane ySplit="1" topLeftCell="A2" activePane="bottomLeft" state="frozen"/>
      <selection pane="bottomLeft" activeCell="D2" sqref="D2"/>
    </sheetView>
  </sheetViews>
  <sheetFormatPr defaultColWidth="9.140625" defaultRowHeight="15" customHeight="1"/>
  <cols>
    <col min="1" max="1" width="20.85546875" style="35" customWidth="1"/>
    <col min="2" max="2" width="26.28515625" style="118" customWidth="1"/>
    <col min="3" max="4" width="46.140625" style="83" customWidth="1"/>
    <col min="5" max="5" width="6.42578125" style="83" customWidth="1"/>
    <col min="6" max="7" width="6.42578125" style="83" hidden="1" customWidth="1"/>
    <col min="8" max="8" width="6.42578125" style="90" hidden="1" customWidth="1"/>
    <col min="9" max="9" width="6.42578125" style="83" customWidth="1"/>
    <col min="10" max="10" width="12.5703125" style="83" hidden="1" customWidth="1"/>
    <col min="11" max="11" width="9.140625" style="83"/>
    <col min="12" max="12" width="0" style="83" hidden="1" customWidth="1"/>
    <col min="13" max="13" width="12.28515625" style="55" customWidth="1"/>
    <col min="14" max="15" width="14.42578125" style="218" customWidth="1"/>
    <col min="16" max="16384" width="9.140625" style="83"/>
  </cols>
  <sheetData>
    <row r="1" spans="1:16" s="79" customFormat="1" ht="65.099999999999994">
      <c r="A1" s="100" t="s">
        <v>0</v>
      </c>
      <c r="B1" s="101" t="s">
        <v>434</v>
      </c>
      <c r="C1" s="79" t="s">
        <v>2</v>
      </c>
      <c r="D1" s="79" t="s">
        <v>3</v>
      </c>
      <c r="E1" s="79" t="s">
        <v>4</v>
      </c>
      <c r="F1" s="7" t="s">
        <v>5</v>
      </c>
      <c r="G1" s="79" t="s">
        <v>6</v>
      </c>
      <c r="H1" s="80" t="s">
        <v>7</v>
      </c>
      <c r="I1" s="79" t="s">
        <v>8</v>
      </c>
      <c r="J1" s="81" t="s">
        <v>9</v>
      </c>
      <c r="K1" s="7" t="s">
        <v>10</v>
      </c>
      <c r="L1" s="7" t="s">
        <v>530</v>
      </c>
      <c r="M1" s="7" t="s">
        <v>11</v>
      </c>
      <c r="N1" s="452" t="s">
        <v>13</v>
      </c>
      <c r="O1" s="2" t="s">
        <v>14</v>
      </c>
      <c r="P1" s="79" t="s">
        <v>15</v>
      </c>
    </row>
    <row r="2" spans="1:16" s="55" customFormat="1" ht="69" customHeight="1">
      <c r="A2" s="453" t="s">
        <v>16</v>
      </c>
      <c r="B2" s="115" t="s">
        <v>80</v>
      </c>
      <c r="C2" s="55" t="s">
        <v>686</v>
      </c>
      <c r="D2" s="55" t="s">
        <v>687</v>
      </c>
      <c r="F2" s="119" t="s">
        <v>21</v>
      </c>
      <c r="H2" s="82"/>
      <c r="J2" s="55">
        <v>2023</v>
      </c>
      <c r="K2" s="55" t="s">
        <v>21</v>
      </c>
      <c r="M2" s="59" t="s">
        <v>1390</v>
      </c>
      <c r="N2" s="454">
        <v>38111108</v>
      </c>
      <c r="O2" s="454" t="s">
        <v>689</v>
      </c>
      <c r="P2" s="55" t="s">
        <v>1391</v>
      </c>
    </row>
    <row r="3" spans="1:16" ht="145.5" customHeight="1">
      <c r="A3" s="453" t="s">
        <v>16</v>
      </c>
      <c r="B3" s="116" t="s">
        <v>225</v>
      </c>
      <c r="C3" s="71" t="s">
        <v>1392</v>
      </c>
      <c r="D3" s="72" t="s">
        <v>1393</v>
      </c>
      <c r="E3" s="73">
        <v>2024</v>
      </c>
      <c r="F3" s="119" t="s">
        <v>21</v>
      </c>
      <c r="G3" s="73" t="s">
        <v>1394</v>
      </c>
      <c r="H3" s="73" t="s">
        <v>1394</v>
      </c>
      <c r="I3" s="73" t="s">
        <v>35</v>
      </c>
      <c r="J3" s="74" t="s">
        <v>1395</v>
      </c>
      <c r="K3" s="73" t="s">
        <v>21</v>
      </c>
      <c r="L3" s="73"/>
      <c r="M3" s="78" t="s">
        <v>1396</v>
      </c>
      <c r="N3" s="455">
        <v>38238113</v>
      </c>
      <c r="O3" s="454" t="s">
        <v>1397</v>
      </c>
    </row>
    <row r="4" spans="1:16" s="84" customFormat="1" ht="39.950000000000003" customHeight="1">
      <c r="A4" s="453" t="s">
        <v>16</v>
      </c>
      <c r="B4" s="91" t="s">
        <v>225</v>
      </c>
      <c r="C4" s="84" t="s">
        <v>1398</v>
      </c>
      <c r="D4" s="85" t="s">
        <v>1399</v>
      </c>
      <c r="E4" s="84">
        <v>2024</v>
      </c>
      <c r="F4" s="119" t="s">
        <v>21</v>
      </c>
      <c r="H4" s="86"/>
      <c r="I4" s="84" t="s">
        <v>35</v>
      </c>
      <c r="J4" s="84" t="s">
        <v>1395</v>
      </c>
      <c r="K4" s="84" t="s">
        <v>1400</v>
      </c>
      <c r="M4" s="59" t="s">
        <v>1401</v>
      </c>
      <c r="N4" s="454">
        <v>38184394</v>
      </c>
      <c r="O4" s="29"/>
    </row>
    <row r="5" spans="1:16" ht="39.950000000000003" customHeight="1">
      <c r="A5" s="453" t="s">
        <v>16</v>
      </c>
      <c r="B5" s="117" t="s">
        <v>1402</v>
      </c>
      <c r="C5" s="87" t="s">
        <v>1403</v>
      </c>
      <c r="D5" s="75" t="s">
        <v>1404</v>
      </c>
      <c r="E5" s="83">
        <v>2024</v>
      </c>
      <c r="F5" s="120" t="s">
        <v>176</v>
      </c>
      <c r="G5" s="83" t="s">
        <v>1405</v>
      </c>
      <c r="H5" s="76">
        <v>104243</v>
      </c>
      <c r="I5" s="83" t="s">
        <v>35</v>
      </c>
      <c r="J5" s="77" t="s">
        <v>1406</v>
      </c>
      <c r="K5" s="83" t="s">
        <v>21</v>
      </c>
      <c r="M5" s="54" t="s">
        <v>1407</v>
      </c>
      <c r="N5" s="454">
        <v>38522364</v>
      </c>
      <c r="O5" s="454" t="s">
        <v>1408</v>
      </c>
      <c r="P5" s="55"/>
    </row>
    <row r="6" spans="1:16" s="22" customFormat="1" ht="39.950000000000003" customHeight="1">
      <c r="A6" s="453" t="s">
        <v>16</v>
      </c>
      <c r="B6" s="61" t="s">
        <v>64</v>
      </c>
      <c r="C6" s="9" t="s">
        <v>1409</v>
      </c>
      <c r="D6" s="9" t="s">
        <v>1410</v>
      </c>
      <c r="E6" s="22">
        <v>2024</v>
      </c>
      <c r="F6" s="121" t="s">
        <v>21</v>
      </c>
      <c r="I6" s="22" t="s">
        <v>35</v>
      </c>
      <c r="J6" s="88">
        <v>45396</v>
      </c>
      <c r="K6" s="22" t="s">
        <v>1411</v>
      </c>
      <c r="M6" s="89" t="s">
        <v>1412</v>
      </c>
      <c r="N6" s="11">
        <v>38670846</v>
      </c>
      <c r="O6" s="11" t="s">
        <v>1413</v>
      </c>
      <c r="P6" s="9" t="s">
        <v>711</v>
      </c>
    </row>
    <row r="7" spans="1:16" ht="49.5" customHeight="1">
      <c r="A7" s="453" t="s">
        <v>16</v>
      </c>
      <c r="B7" s="117" t="s">
        <v>1414</v>
      </c>
      <c r="C7" s="55" t="s">
        <v>1415</v>
      </c>
      <c r="D7" s="55" t="s">
        <v>1416</v>
      </c>
      <c r="E7" s="83">
        <v>2024</v>
      </c>
      <c r="F7" s="120" t="s">
        <v>21</v>
      </c>
      <c r="I7" s="83" t="s">
        <v>35</v>
      </c>
      <c r="J7" s="92">
        <v>45621</v>
      </c>
      <c r="K7" s="83" t="s">
        <v>1417</v>
      </c>
      <c r="M7" s="55" t="s">
        <v>620</v>
      </c>
      <c r="N7" s="454">
        <v>37525454</v>
      </c>
      <c r="O7" s="454" t="s">
        <v>621</v>
      </c>
      <c r="P7" s="55" t="s">
        <v>1418</v>
      </c>
    </row>
    <row r="12" spans="1:16" ht="15" customHeight="1">
      <c r="A12" s="456"/>
      <c r="B12" s="457"/>
      <c r="N12" s="454"/>
      <c r="O12" s="454"/>
    </row>
  </sheetData>
  <autoFilter ref="C1:O7" xr:uid="{00000000-0001-0000-0400-000000000000}"/>
  <sortState xmlns:xlrd2="http://schemas.microsoft.com/office/spreadsheetml/2017/richdata2" ref="C2:M8">
    <sortCondition ref="C2:C8"/>
  </sortState>
  <dataValidations count="1">
    <dataValidation type="list" allowBlank="1" showInputMessage="1" showErrorMessage="1" sqref="I60:I1048576" xr:uid="{00000000-0002-0000-0400-000000000000}">
      <formula1>#REF!</formula1>
    </dataValidation>
  </dataValidations>
  <hyperlinks>
    <hyperlink ref="M2" r:id="rId1" display="https://doi.org/10.1177/00333549231208642" xr:uid="{BFE54EBB-DA72-4D04-AF5E-22F996C0BF38}"/>
    <hyperlink ref="M5" r:id="rId2" display="SARS-CoV-2 infection, inflammation and birth outcomes in a prospective NYC pregnancy cohort - ScienceDirect" xr:uid="{C4DBBC5C-0C46-44A5-BF79-4ED077129A33}"/>
    <hyperlink ref="J5" r:id="rId3" xr:uid="{CD07F2CF-50DF-4918-BCDA-D25D67A93AC6}"/>
    <hyperlink ref="M6" r:id="rId4" display="https://doi.org/10.1016/j.vaccine.2024.04.043" xr:uid="{17E50764-9167-4E5D-B6C7-C7C45FCA3EAB}"/>
    <hyperlink ref="M3" r:id="rId5" display="https://doi.org/10.1016/j.vaccine.2023.12.061" xr:uid="{FA28FC6B-1B28-449D-9CB5-012A2C6768C9}"/>
  </hyperlinks>
  <pageMargins left="0.7" right="0.7" top="0.75" bottom="0.75" header="0.3" footer="0.3"/>
  <pageSetup orientation="portrait" r:id="rId6"/>
  <extLst>
    <ext xmlns:x14="http://schemas.microsoft.com/office/spreadsheetml/2009/9/main" uri="{CCE6A557-97BC-4b89-ADB6-D9C93CAAB3DF}">
      <x14:dataValidations xmlns:xm="http://schemas.microsoft.com/office/excel/2006/main" count="2">
        <x14:dataValidation type="list" allowBlank="1" showInputMessage="1" showErrorMessage="1" xr:uid="{A221C539-D321-43AC-9166-082618C1BC33}">
          <x14:formula1>
            <xm:f>#REF!</xm:f>
          </x14:formula1>
          <xm:sqref>A2:A524</xm:sqref>
        </x14:dataValidation>
        <x14:dataValidation type="list" allowBlank="1" showInputMessage="1" showErrorMessage="1" xr:uid="{006C8C37-A704-4950-810F-7DD0B879F4D7}">
          <x14:formula1>
            <xm:f>#REF!</xm:f>
          </x14:formula1>
          <xm:sqref>I2:I59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64d37f30-bf6b-42e2-8de8-6ebcb1f478d2">
      <UserInfo>
        <DisplayName>Gibbs-Scharf, Lynn (CDC/NCIRD/ISD)</DisplayName>
        <AccountId>96</AccountId>
        <AccountType/>
      </UserInfo>
      <UserInfo>
        <DisplayName>Santoli, Jeanne (CDC/NCIRD/ISD)</DisplayName>
        <AccountId>97</AccountId>
        <AccountType/>
      </UserInfo>
      <UserInfo>
        <DisplayName>Dowling, Nicole (CDC/NCIRD/ISD)</DisplayName>
        <AccountId>14</AccountId>
        <AccountType/>
      </UserInfo>
      <UserInfo>
        <DisplayName>Singleton, James (CDC/NCIRD/ISD)</DisplayName>
        <AccountId>22</AccountId>
        <AccountType/>
      </UserInfo>
      <UserInfo>
        <DisplayName>Harris, LaTreace (CDC/NCIRD/ISD)</DisplayName>
        <AccountId>98</AccountId>
        <AccountType/>
      </UserInfo>
      <UserInfo>
        <DisplayName>Mells, Jamie E. (CDC/NCIRD/ISD)</DisplayName>
        <AccountId>99</AccountId>
        <AccountType/>
      </UserInfo>
      <UserInfo>
        <DisplayName>Lucas, Paul (CDC/NCIRD/ISD)</DisplayName>
        <AccountId>100</AccountId>
        <AccountType/>
      </UserInfo>
      <UserInfo>
        <DisplayName>Herrera, Rosa L. (CDC/NCIRD/ISD)</DisplayName>
        <AccountId>30</AccountId>
        <AccountType/>
      </UserInfo>
      <UserInfo>
        <DisplayName>Jatlaoui, Tara (CDC/NCIRD/ISD)</DisplayName>
        <AccountId>37</AccountId>
        <AccountType/>
      </UserInfo>
      <UserInfo>
        <DisplayName>Kellum, Molly (CDC/NCIRD/ISD)</DisplayName>
        <AccountId>67</AccountId>
        <AccountType/>
      </UserInfo>
      <UserInfo>
        <DisplayName>Banks, Michelle (CDC/NCIRD/ISD)</DisplayName>
        <AccountId>36</AccountId>
        <AccountType/>
      </UserInfo>
      <UserInfo>
        <DisplayName>Sennett, Michael (CDC/NCIRD/ISD)</DisplayName>
        <AccountId>85</AccountId>
        <AccountType/>
      </UserInfo>
      <UserInfo>
        <DisplayName>Ross Walker, Tonya (CDC/NCIRD/ISD)</DisplayName>
        <AccountId>88</AccountId>
        <AccountType/>
      </UserInfo>
      <UserInfo>
        <DisplayName>Snead, Margaret C. (Chris) (CDC/NCIRD/ISD)</DisplayName>
        <AccountId>65</AccountId>
        <AccountType/>
      </UserInfo>
      <UserInfo>
        <DisplayName>Stokley, Shannon (CDC/NCIRD/ISD)</DisplayName>
        <AccountId>29</AccountId>
        <AccountType/>
      </UserInfo>
      <UserInfo>
        <DisplayName>Moses, Jill (CDC/NCIRD/ISD)</DisplayName>
        <AccountId>28</AccountId>
        <AccountType/>
      </UserInfo>
      <UserInfo>
        <DisplayName>Kang, Yoonjae (CDC/NCIRD/ISD)</DisplayName>
        <AccountId>108</AccountId>
        <AccountType/>
      </UserInfo>
      <UserInfo>
        <DisplayName>Leidner, Andrew John (CDC/NCIRD/ISD)</DisplayName>
        <AccountId>33</AccountId>
        <AccountType/>
      </UserInfo>
      <UserInfo>
        <DisplayName>Arseniadis, Katie (CDC/NCIRD/ISD)</DisplayName>
        <AccountId>111</AccountId>
        <AccountType/>
      </UserInfo>
    </SharedWithUsers>
    <TaxCatchAll xmlns="64d37f30-bf6b-42e2-8de8-6ebcb1f478d2" xsi:nil="true"/>
    <lcf76f155ced4ddcb4097134ff3c332f xmlns="bd13911f-78fa-42cd-8965-b8b714a5b4f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7350212DCD1904CAE5EEDDA7E4B9B91" ma:contentTypeVersion="13" ma:contentTypeDescription="Create a new document." ma:contentTypeScope="" ma:versionID="90d56b348fa680ec013586fdf04fd5b6">
  <xsd:schema xmlns:xsd="http://www.w3.org/2001/XMLSchema" xmlns:xs="http://www.w3.org/2001/XMLSchema" xmlns:p="http://schemas.microsoft.com/office/2006/metadata/properties" xmlns:ns2="bd13911f-78fa-42cd-8965-b8b714a5b4f3" xmlns:ns3="64d37f30-bf6b-42e2-8de8-6ebcb1f478d2" targetNamespace="http://schemas.microsoft.com/office/2006/metadata/properties" ma:root="true" ma:fieldsID="85618ebeef7bae93baadba786ba34900" ns2:_="" ns3:_="">
    <xsd:import namespace="bd13911f-78fa-42cd-8965-b8b714a5b4f3"/>
    <xsd:import namespace="64d37f30-bf6b-42e2-8de8-6ebcb1f478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13911f-78fa-42cd-8965-b8b714a5b4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d37f30-bf6b-42e2-8de8-6ebcb1f478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5655bf9-6f5d-4fa1-b5c4-fc4f0cab706d}" ma:internalName="TaxCatchAll" ma:showField="CatchAllData" ma:web="64d37f30-bf6b-42e2-8de8-6ebcb1f47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33B7A8-2496-4DDD-9350-AB5F6E6CC88E}"/>
</file>

<file path=customXml/itemProps2.xml><?xml version="1.0" encoding="utf-8"?>
<ds:datastoreItem xmlns:ds="http://schemas.openxmlformats.org/officeDocument/2006/customXml" ds:itemID="{A7703BFF-49BC-46BD-A2EB-3DA141C6A8AD}"/>
</file>

<file path=customXml/itemProps3.xml><?xml version="1.0" encoding="utf-8"?>
<ds:datastoreItem xmlns:ds="http://schemas.openxmlformats.org/officeDocument/2006/customXml" ds:itemID="{7B57E2A5-7835-47E6-B885-244A82BE85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Mekbib, Michael S (CDC/NCIRD/ISD)</cp:lastModifiedBy>
  <cp:revision/>
  <dcterms:created xsi:type="dcterms:W3CDTF">2006-09-16T00:00:00Z</dcterms:created>
  <dcterms:modified xsi:type="dcterms:W3CDTF">2026-06-29T14:04:14Z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0x010100A7350212DCD1904CAE5EEDDA7E4B9B91</vt:lpwstr>
  </property>
  <property fmtid="{D5CDD505-2E9C-101B-9397-08002B2CF9AE}" pid="3" name="MSIP_Label_7b94a7b8-f06c-4dfe-bdcc-9b548fd58c31_Enabled">
    <vt:lpwstr>true</vt:lpwstr>
  </property>
  <property fmtid="{D5CDD505-2E9C-101B-9397-08002B2CF9AE}" pid="4" name="MSIP_Label_7b94a7b8-f06c-4dfe-bdcc-9b548fd58c31_SetDate">
    <vt:lpwstr>2025-03-17T19:27:29Z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14cfcc25-08ac-43a9-8dda-cf6e25a924d2</vt:lpwstr>
  </property>
  <property fmtid="{D5CDD505-2E9C-101B-9397-08002B2CF9AE}" pid="9" name="MSIP_Label_7b94a7b8-f06c-4dfe-bdcc-9b548fd58c31_ContentBits">
    <vt:lpwstr>0</vt:lpwstr>
  </property>
  <property fmtid="{D5CDD505-2E9C-101B-9397-08002B2CF9AE}" pid="10" name="MediaServiceImageTags">
    <vt:lpwstr/>
  </property>
</Properties>
</file>